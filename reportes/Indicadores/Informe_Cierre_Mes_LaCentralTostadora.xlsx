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atos Tueste" sheetId="2" state="visible" r:id="rId4"/>
    <sheet name="1. Kilos por Área" sheetId="3" state="visible" r:id="rId5"/>
    <sheet name="2. Comparativo Mensual" sheetId="4" state="visible" r:id="rId6"/>
    <sheet name="3. Inventarios" sheetId="5" state="visible" r:id="rId7"/>
    <sheet name="4. Ventas" sheetId="6" state="visible" r:id="rId8"/>
    <sheet name="5. Clien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<sst xmlns="http://schemas.openxmlformats.org/spreadsheetml/2006/main" count="120" uniqueCount="62">
  <si>
    <t xml:space="preserve">LA CENTRAL TOSTADORA — INFORME DE CIERRE</t>
  </si>
  <si>
    <t xml:space="preserve">Periodo con datos disponibles en Reporte.pbix: 16 jul 2026 – 19 ago 2026</t>
  </si>
  <si>
    <t xml:space="preserve">Alcance de este informe</t>
  </si>
  <si>
    <t xml:space="preserve">Este archivo replica la estructura del informe "Cierre de mes" de referencia, generado a partir de las tablas del modelo de Power BI (Reporte.pbix) adjunto. Todas las cifras marcadas como "Kilos" corresponden a peso bruto.</t>
  </si>
  <si>
    <t xml:space="preserve">Secciones con datos reales</t>
  </si>
  <si>
    <t xml:space="preserve">• 1. Kilos por área (parcial) — solo Café a Tueste y Café Tostado, con base en tblConsumosTueste (351 registros).</t>
  </si>
  <si>
    <t xml:space="preserve">• 2. Comparativo mensual (parcial) — solo julio y agosto 2026 (único rango con datos).</t>
  </si>
  <si>
    <t xml:space="preserve">Secciones SIN datos en el modelo actual</t>
  </si>
  <si>
    <t xml:space="preserve">• Kilos Trilla Natural / Pergamino: tblOrdenesTrilla solo tiene 3 registros de prueba, sin volumen real.</t>
  </si>
  <si>
    <t xml:space="preserve">• Kilos por Catadora, Bolsas Empacadas (grano/molido), Unidades Etiquetadas: tblEmpaques y TblOrdenesSeleccionVerde solo tienen 2-3 registros de prueba.</t>
  </si>
  <si>
    <t xml:space="preserve">• Inventarios (pergamino / verde por producto): no existe tabla de inventario de producto terminado en el modelo.</t>
  </si>
  <si>
    <t xml:space="preserve">• Ventas de productos ($) y Clientes por compra/facturación: el modelo no contiene tablas de ventas, precios ni facturación. El campo Cliente de cada tueste está vacío (IdCliente = 0 en el 100% de los registros).</t>
  </si>
  <si>
    <t xml:space="preserve">Nota adicional</t>
  </si>
  <si>
    <t xml:space="preserve">El campo Rendimiento (Peso Tostado / Peso Verde) es prácticamente constante en ~90% en casi todos los registros, lo que sugiere que estos datos podrían ser de prueba/demostración más que operación real. Vale la pena confirmarlo antes de usar este informe para decisiones.</t>
  </si>
  <si>
    <t xml:space="preserve">Datos fuente — tblConsumosTueste (Reporte.pbix)</t>
  </si>
  <si>
    <t xml:space="preserve">Fecha</t>
  </si>
  <si>
    <t xml:space="preserve">NumeroOrden</t>
  </si>
  <si>
    <t xml:space="preserve">Bache</t>
  </si>
  <si>
    <t xml:space="preserve">Kilos Café Verde (PesoCv)</t>
  </si>
  <si>
    <t xml:space="preserve">Kilos Café Tostado (PesoCt)</t>
  </si>
  <si>
    <t xml:space="preserve">Rendimiento %</t>
  </si>
  <si>
    <t xml:space="preserve">ConsumoGas</t>
  </si>
  <si>
    <t xml:space="preserve">ConsumoKwh</t>
  </si>
  <si>
    <t xml:space="preserve">1. Total de kilos procesados por área (semanal)</t>
  </si>
  <si>
    <t xml:space="preserve">CONCEPTO</t>
  </si>
  <si>
    <t xml:space="preserve">16-19 Jul</t>
  </si>
  <si>
    <t xml:space="preserve">20-26 Jul</t>
  </si>
  <si>
    <t xml:space="preserve">27 Jul-2 Ago</t>
  </si>
  <si>
    <t xml:space="preserve">3-9 Ago</t>
  </si>
  <si>
    <t xml:space="preserve">10-16 Ago</t>
  </si>
  <si>
    <t xml:space="preserve">17-19 Ago</t>
  </si>
  <si>
    <t xml:space="preserve">TOTAL</t>
  </si>
  <si>
    <t xml:space="preserve">Kilos Trilla Natural</t>
  </si>
  <si>
    <t xml:space="preserve">Sin datos disponibles</t>
  </si>
  <si>
    <t xml:space="preserve">Kilos Trilla Pergamino</t>
  </si>
  <si>
    <t xml:space="preserve">Kilos Café a Tueste</t>
  </si>
  <si>
    <t xml:space="preserve">Kilos Café Tostado</t>
  </si>
  <si>
    <t xml:space="preserve">Kilos por Catadora</t>
  </si>
  <si>
    <t xml:space="preserve">Und bolsas Emp grano</t>
  </si>
  <si>
    <t xml:space="preserve">Und bolsas Emp molido</t>
  </si>
  <si>
    <t xml:space="preserve">Unidades Etiquetadas</t>
  </si>
  <si>
    <t xml:space="preserve">Nota: "Kilos" = peso bruto. Filas marcadas "Sin datos disponibles" no tienen tabla o volumen de origen en el modelo Power BI (ver hoja Resumen). Semana 20-26 jul, 27 jul-2 ago y 3-9 ago sin producción registrada en algunos días.</t>
  </si>
  <si>
    <t xml:space="preserve">2. Comparativo de procesamiento con meses anteriores</t>
  </si>
  <si>
    <t xml:space="preserve">MES</t>
  </si>
  <si>
    <t xml:space="preserve">Kilos Trillados</t>
  </si>
  <si>
    <t xml:space="preserve">Kilos a Tueste</t>
  </si>
  <si>
    <t xml:space="preserve">Kilos Tostados</t>
  </si>
  <si>
    <t xml:space="preserve">Bolsa Emp grano</t>
  </si>
  <si>
    <t xml:space="preserve">Bolsa Emp Molido</t>
  </si>
  <si>
    <t xml:space="preserve">Bolsas Etiquetadas</t>
  </si>
  <si>
    <t xml:space="preserve">Julio 2026 (desde 16 jul)</t>
  </si>
  <si>
    <t xml:space="preserve">Sin datos</t>
  </si>
  <si>
    <t xml:space="preserve">Agosto 2026 (hasta 19 ago)</t>
  </si>
  <si>
    <t xml:space="preserve">—</t>
  </si>
  <si>
    <t xml:space="preserve">Nota: no hay meses anteriores (ej. junio, mayo) con datos de tueste en el modelo — el histórico empieza el 16 de julio de 2026. Solo se muestran julio y agosto 2026, y estos dos meses están incompletos (julio sin días 1-15; agosto hasta el 19).</t>
  </si>
  <si>
    <t xml:space="preserve">3. Inventarios (pergamino / verde)</t>
  </si>
  <si>
    <t xml:space="preserve">Sin datos disponibles en Reporte.pbix</t>
  </si>
  <si>
    <t xml:space="preserve">El modelo Power BI no incluye ninguna tabla de inventario de producto terminado o en proceso (pergamino, verde) por origen/lote. Las tablas de inventario referenciadas por IdInvenCafe (tblOrdenes, tblEmpaques) no tienen una tabla maestra de inventario cargada con saldos. Para completar esta sección se necesita conectar el sistema/tabla de inventarios de la operación, o cargar un conteo manual como en el informe de referencia.</t>
  </si>
  <si>
    <t xml:space="preserve">4. Venta de Productos</t>
  </si>
  <si>
    <t xml:space="preserve">El modelo Power BI no contiene ninguna tabla de ventas, precios o facturación (granel, bolsas 2.5kg/500g/250g/340g). No es posible construir esta sección con los datos actuales del archivo. Se requiere conectar la fuente de facturación/ventas de La Central Tostadora.</t>
  </si>
  <si>
    <t xml:space="preserve">5. Clientes (mayor compra / facturación / frecuencia)</t>
  </si>
  <si>
    <t xml:space="preserve">tblClientes contiene 142 clientes maestro, pero ningún registro de tueste, trilla u orden tiene el campo IdCliente diligenciado (100% de los 351 registros de tueste tienen IdCliente = 0 y Nombre = "/NA"). Sin esa relación no es posible calcular mayor compra, facturación en maquila ni frecuencia por cliente. Se requiere que el sistema origen registre el cliente en cada orden, o conectar la tabla de ventas/facturación.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</si>
</sst>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B2E1E"/>
        <bgColor rgb="FF333300"/>
      </patternFill>
    </fill>
    <fill>
      <patternFill patternType="solid">
        <fgColor rgb="FF6F4E37"/>
        <bgColor rgb="FF4B2E1E"/>
      </patternFill>
    </fill>
    <fill>
      <patternFill patternType="solid">
        <fgColor rgb="FFEFE6DD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C0504D"/>
      <rgbColor rgb="FFEFE6D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6F4E37"/>
      <rgbColor rgb="FF333399"/>
      <rgbColor rgb="FF4B2E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Kilos a Tueste vs. Kilos Tostado por semana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"Kilos Café a Tueste"</c:f>
              <c:strCache>
                <c:ptCount val="1"/>
                <c:pt idx="0">
                  <c:v>Kilos Café a Tueste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'1. Kilos por Área'!$B$3:$G$3</c:f>
              <c:multiLvlStrCache>
                <c:ptCount val="1"/>
                <c:lvl>
                  <c:pt idx="0">
                    <c:v>17-19 Ago</c:v>
                  </c:pt>
                </c:lvl>
                <c:lvl>
                  <c:pt idx="0">
                    <c:v>10-16 Ago</c:v>
                  </c:pt>
                </c:lvl>
                <c:lvl>
                  <c:pt idx="0">
                    <c:v>3-9 Ago</c:v>
                  </c:pt>
                </c:lvl>
                <c:lvl>
                  <c:pt idx="0">
                    <c:v>27 Jul-2 Ago</c:v>
                  </c:pt>
                </c:lvl>
                <c:lvl>
                  <c:pt idx="0">
                    <c:v>20-26 Jul</c:v>
                  </c:pt>
                </c:lvl>
                <c:lvl>
                  <c:pt idx="0">
                    <c:v>16-19 Jul</c:v>
                  </c:pt>
                </c:lvl>
              </c:multiLvlStrCache>
            </c:multiLvlStrRef>
          </c:cat>
          <c:val>
            <c:numRef>
              <c:f>'1. Kilos por Área'!$B$6:$G$6</c:f>
              <c:numCache>
                <c:formatCode>#,##0.00</c:formatCode>
                <c:ptCount val="6"/>
                <c:pt idx="0">
                  <c:v>48</c:v>
                </c:pt>
                <c:pt idx="1">
                  <c:v>859.83</c:v>
                </c:pt>
                <c:pt idx="2">
                  <c:v>1647.07</c:v>
                </c:pt>
                <c:pt idx="3">
                  <c:v>891.25</c:v>
                </c:pt>
                <c:pt idx="4">
                  <c:v>1902.68</c:v>
                </c:pt>
                <c:pt idx="5">
                  <c:v>680.56</c:v>
                </c:pt>
              </c:numCache>
            </c:numRef>
          </c:val>
        </c:ser>
        <c:ser>
          <c:idx val="1"/>
          <c:order val="1"/>
          <c:tx>
            <c:strRef>
              <c:f>"Kilos Café Tostado"</c:f>
              <c:strCache>
                <c:ptCount val="1"/>
                <c:pt idx="0">
                  <c:v>Kilos Café Tostado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'1. Kilos por Área'!$B$3:$G$3</c:f>
              <c:multiLvlStrCache>
                <c:ptCount val="1"/>
                <c:lvl>
                  <c:pt idx="0">
                    <c:v>17-19 Ago</c:v>
                  </c:pt>
                </c:lvl>
                <c:lvl>
                  <c:pt idx="0">
                    <c:v>10-16 Ago</c:v>
                  </c:pt>
                </c:lvl>
                <c:lvl>
                  <c:pt idx="0">
                    <c:v>3-9 Ago</c:v>
                  </c:pt>
                </c:lvl>
                <c:lvl>
                  <c:pt idx="0">
                    <c:v>27 Jul-2 Ago</c:v>
                  </c:pt>
                </c:lvl>
                <c:lvl>
                  <c:pt idx="0">
                    <c:v>20-26 Jul</c:v>
                  </c:pt>
                </c:lvl>
                <c:lvl>
                  <c:pt idx="0">
                    <c:v>16-19 Jul</c:v>
                  </c:pt>
                </c:lvl>
              </c:multiLvlStrCache>
            </c:multiLvlStrRef>
          </c:cat>
          <c:val>
            <c:numRef>
              <c:f>'1. Kilos por Área'!$B$7:$G$7</c:f>
              <c:numCache>
                <c:formatCode>#,##0.00</c:formatCode>
                <c:ptCount val="6"/>
                <c:pt idx="0">
                  <c:v>43.2</c:v>
                </c:pt>
                <c:pt idx="1">
                  <c:v>773.82</c:v>
                </c:pt>
                <c:pt idx="2">
                  <c:v>1482.35</c:v>
                </c:pt>
                <c:pt idx="3">
                  <c:v>802.12</c:v>
                </c:pt>
                <c:pt idx="4">
                  <c:v>1712.44</c:v>
                </c:pt>
                <c:pt idx="5">
                  <c:v>612.51</c:v>
                </c:pt>
              </c:numCache>
            </c:numRef>
          </c:val>
        </c:ser>
        <c:gapWidth val="150"/>
        <c:overlap val="0"/>
        <c:axId val="11205598"/>
        <c:axId val="31868053"/>
      </c:barChart>
      <c:catAx>
        <c:axId val="112055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868053"/>
        <c:crosses val="autoZero"/>
        <c:auto val="1"/>
        <c:lblAlgn val="ctr"/>
        <c:lblOffset val="100"/>
        <c:noMultiLvlLbl val="0"/>
      </c:catAx>
      <c:valAx>
        <c:axId val="318680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Kilos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20559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7</xdr:col>
      <xdr:colOff>10080</xdr:colOff>
      <xdr:row>29</xdr:row>
      <xdr:rowOff>22320</xdr:rowOff>
    </xdr:to>
    <xdr:graphicFrame>
      <xdr:nvGraphicFramePr>
        <xdr:cNvPr id="1" name="Chart 1"/>
        <xdr:cNvGraphicFramePr/>
      </xdr:nvGraphicFramePr>
      <xdr:xfrm>
        <a:off x="0" y="31528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  <col collapsed="false" customWidth="true" hidden="false" outlineLevel="0" max="6" min="2" style="0" width="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5" customFormat="false" ht="15" hidden="false" customHeight="false" outlineLevel="0" collapsed="false">
      <c r="A5" s="3" t="s">
        <v>2</v>
      </c>
    </row>
    <row r="6" customFormat="false" ht="30" hidden="false" customHeight="true" outlineLevel="0" collapsed="false">
      <c r="A6" s="4" t="s">
        <v>3</v>
      </c>
      <c r="B6" s="4"/>
      <c r="C6" s="4"/>
      <c r="D6" s="4"/>
      <c r="E6" s="4"/>
      <c r="F6" s="4"/>
    </row>
    <row r="8" customFormat="false" ht="15" hidden="false" customHeight="false" outlineLevel="0" collapsed="false">
      <c r="A8" s="3" t="s">
        <v>4</v>
      </c>
    </row>
    <row r="9" customFormat="false" ht="24" hidden="false" customHeight="true" outlineLevel="0" collapsed="false">
      <c r="A9" s="5" t="s">
        <v>5</v>
      </c>
      <c r="B9" s="5"/>
      <c r="C9" s="5"/>
      <c r="D9" s="5"/>
      <c r="E9" s="5"/>
      <c r="F9" s="5"/>
    </row>
    <row r="10" customFormat="false" ht="24" hidden="false" customHeight="true" outlineLevel="0" collapsed="false">
      <c r="A10" s="5" t="s">
        <v>6</v>
      </c>
      <c r="B10" s="5"/>
      <c r="C10" s="5"/>
      <c r="D10" s="5"/>
      <c r="E10" s="5"/>
      <c r="F10" s="5"/>
    </row>
    <row r="12" customFormat="false" ht="15" hidden="false" customHeight="false" outlineLevel="0" collapsed="false">
      <c r="A12" s="3" t="s">
        <v>7</v>
      </c>
    </row>
    <row r="13" customFormat="false" ht="24" hidden="false" customHeight="true" outlineLevel="0" collapsed="false">
      <c r="A13" s="5" t="s">
        <v>8</v>
      </c>
      <c r="B13" s="5"/>
      <c r="C13" s="5"/>
      <c r="D13" s="5"/>
      <c r="E13" s="5"/>
      <c r="F13" s="5"/>
    </row>
    <row r="14" customFormat="false" ht="24" hidden="false" customHeight="true" outlineLevel="0" collapsed="false">
      <c r="A14" s="5" t="s">
        <v>9</v>
      </c>
      <c r="B14" s="5"/>
      <c r="C14" s="5"/>
      <c r="D14" s="5"/>
      <c r="E14" s="5"/>
      <c r="F14" s="5"/>
    </row>
    <row r="15" customFormat="false" ht="24" hidden="false" customHeight="true" outlineLevel="0" collapsed="false">
      <c r="A15" s="5" t="s">
        <v>10</v>
      </c>
      <c r="B15" s="5"/>
      <c r="C15" s="5"/>
      <c r="D15" s="5"/>
      <c r="E15" s="5"/>
      <c r="F15" s="5"/>
    </row>
    <row r="16" customFormat="false" ht="24" hidden="false" customHeight="true" outlineLevel="0" collapsed="false">
      <c r="A16" s="5" t="s">
        <v>11</v>
      </c>
      <c r="B16" s="5"/>
      <c r="C16" s="5"/>
      <c r="D16" s="5"/>
      <c r="E16" s="5"/>
      <c r="F16" s="5"/>
    </row>
    <row r="18" customFormat="false" ht="15" hidden="false" customHeight="false" outlineLevel="0" collapsed="false">
      <c r="A18" s="3" t="s">
        <v>12</v>
      </c>
    </row>
    <row r="19" customFormat="false" ht="30" hidden="false" customHeight="true" outlineLevel="0" collapsed="false">
      <c r="A19" s="4" t="s">
        <v>13</v>
      </c>
      <c r="B19" s="4"/>
      <c r="C19" s="4"/>
      <c r="D19" s="4"/>
      <c r="E19" s="4"/>
      <c r="F19" s="4"/>
    </row>
  </sheetData>
  <mergeCells count="10">
    <mergeCell ref="A1:F1"/>
    <mergeCell ref="A2:F2"/>
    <mergeCell ref="A6:F6"/>
    <mergeCell ref="A9:F9"/>
    <mergeCell ref="A10:F10"/>
    <mergeCell ref="A13:F13"/>
    <mergeCell ref="A14:F14"/>
    <mergeCell ref="A15:F15"/>
    <mergeCell ref="A16:F16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8"/>
    <col collapsed="false" customWidth="true" hidden="false" outlineLevel="0" max="5" min="4" style="0" width="20"/>
    <col collapsed="false" customWidth="true" hidden="false" outlineLevel="0" max="8" min="6" style="0" width="12"/>
  </cols>
  <sheetData>
    <row r="1" customFormat="false" ht="25.5" hidden="false" customHeight="true" outlineLevel="0" collapsed="false">
      <c r="A1" s="1" t="s">
        <v>14</v>
      </c>
      <c r="B1" s="1"/>
      <c r="C1" s="1"/>
      <c r="D1" s="1"/>
      <c r="E1" s="1"/>
      <c r="F1" s="1"/>
      <c r="G1" s="1"/>
      <c r="H1" s="1"/>
    </row>
    <row r="3" customFormat="false" ht="23.85" hidden="false" customHeight="fals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</row>
    <row r="4" customFormat="false" ht="15" hidden="false" customHeight="false" outlineLevel="0" collapsed="false">
      <c r="A4" s="7" t="n">
        <v>46219</v>
      </c>
      <c r="B4" s="8" t="n">
        <v>3689</v>
      </c>
      <c r="C4" s="8" t="n">
        <v>1</v>
      </c>
      <c r="D4" s="8"/>
      <c r="E4" s="8"/>
      <c r="F4" s="8"/>
      <c r="G4" s="8" t="n">
        <v>0</v>
      </c>
      <c r="H4" s="8" t="n">
        <v>0</v>
      </c>
    </row>
    <row r="5" customFormat="false" ht="15" hidden="false" customHeight="false" outlineLevel="0" collapsed="false">
      <c r="A5" s="7" t="n">
        <v>46219</v>
      </c>
      <c r="B5" s="8" t="n">
        <v>3666</v>
      </c>
      <c r="C5" s="8" t="n">
        <v>1</v>
      </c>
      <c r="D5" s="8"/>
      <c r="E5" s="8"/>
      <c r="F5" s="8"/>
      <c r="G5" s="8" t="n">
        <v>0</v>
      </c>
      <c r="H5" s="8" t="n">
        <v>0</v>
      </c>
    </row>
    <row r="6" customFormat="false" ht="15" hidden="false" customHeight="false" outlineLevel="0" collapsed="false">
      <c r="A6" s="7" t="n">
        <v>46219</v>
      </c>
      <c r="B6" s="8" t="n">
        <v>3667</v>
      </c>
      <c r="C6" s="8" t="n">
        <v>2</v>
      </c>
      <c r="D6" s="8"/>
      <c r="E6" s="8"/>
      <c r="F6" s="8"/>
      <c r="G6" s="8" t="n">
        <v>0</v>
      </c>
      <c r="H6" s="8" t="n">
        <v>0</v>
      </c>
    </row>
    <row r="7" customFormat="false" ht="15" hidden="false" customHeight="false" outlineLevel="0" collapsed="false">
      <c r="A7" s="7" t="n">
        <v>46219</v>
      </c>
      <c r="B7" s="8" t="n">
        <v>3688</v>
      </c>
      <c r="C7" s="8" t="n">
        <v>1</v>
      </c>
      <c r="D7" s="8"/>
      <c r="E7" s="8"/>
      <c r="F7" s="8"/>
      <c r="G7" s="8" t="n">
        <v>0</v>
      </c>
      <c r="H7" s="8" t="n">
        <v>0</v>
      </c>
    </row>
    <row r="8" customFormat="false" ht="15" hidden="false" customHeight="false" outlineLevel="0" collapsed="false">
      <c r="A8" s="7" t="n">
        <v>46219</v>
      </c>
      <c r="B8" s="8" t="n">
        <v>3689</v>
      </c>
      <c r="C8" s="8" t="n">
        <v>2</v>
      </c>
      <c r="D8" s="8"/>
      <c r="E8" s="8"/>
      <c r="F8" s="8"/>
      <c r="G8" s="8" t="n">
        <v>0</v>
      </c>
      <c r="H8" s="8" t="n">
        <v>0</v>
      </c>
    </row>
    <row r="9" customFormat="false" ht="15" hidden="false" customHeight="false" outlineLevel="0" collapsed="false">
      <c r="A9" s="7" t="n">
        <v>46219</v>
      </c>
      <c r="B9" s="8" t="n">
        <v>3674</v>
      </c>
      <c r="C9" s="8" t="n">
        <v>1</v>
      </c>
      <c r="D9" s="8"/>
      <c r="E9" s="8"/>
      <c r="F9" s="8"/>
      <c r="G9" s="8" t="n">
        <v>0</v>
      </c>
      <c r="H9" s="8" t="n">
        <v>0</v>
      </c>
    </row>
    <row r="10" customFormat="false" ht="15" hidden="false" customHeight="false" outlineLevel="0" collapsed="false">
      <c r="A10" s="7" t="n">
        <v>46219</v>
      </c>
      <c r="B10" s="8" t="n">
        <v>3681</v>
      </c>
      <c r="C10" s="8" t="n">
        <v>1</v>
      </c>
      <c r="D10" s="8"/>
      <c r="E10" s="8"/>
      <c r="F10" s="8"/>
      <c r="G10" s="8" t="n">
        <v>0</v>
      </c>
      <c r="H10" s="8" t="n">
        <v>0</v>
      </c>
    </row>
    <row r="11" customFormat="false" ht="15" hidden="false" customHeight="false" outlineLevel="0" collapsed="false">
      <c r="A11" s="7" t="n">
        <v>46219</v>
      </c>
      <c r="B11" s="8" t="n">
        <v>3682</v>
      </c>
      <c r="C11" s="8" t="n">
        <v>2</v>
      </c>
      <c r="D11" s="8"/>
      <c r="E11" s="8"/>
      <c r="F11" s="8"/>
      <c r="G11" s="8" t="n">
        <v>0</v>
      </c>
      <c r="H11" s="8" t="n">
        <v>0</v>
      </c>
    </row>
    <row r="12" customFormat="false" ht="15" hidden="false" customHeight="false" outlineLevel="0" collapsed="false">
      <c r="A12" s="7" t="n">
        <v>46219</v>
      </c>
      <c r="B12" s="8" t="n">
        <v>3683</v>
      </c>
      <c r="C12" s="8" t="n">
        <v>1</v>
      </c>
      <c r="D12" s="8"/>
      <c r="E12" s="8"/>
      <c r="F12" s="8"/>
      <c r="G12" s="8" t="n">
        <v>0</v>
      </c>
      <c r="H12" s="8" t="n">
        <v>0</v>
      </c>
    </row>
    <row r="13" customFormat="false" ht="15" hidden="false" customHeight="false" outlineLevel="0" collapsed="false">
      <c r="A13" s="7" t="n">
        <v>46219</v>
      </c>
      <c r="B13" s="8" t="n">
        <v>3691</v>
      </c>
      <c r="C13" s="8" t="n">
        <v>1</v>
      </c>
      <c r="D13" s="8"/>
      <c r="E13" s="8"/>
      <c r="F13" s="8"/>
      <c r="G13" s="8" t="n">
        <v>0</v>
      </c>
      <c r="H13" s="8" t="n">
        <v>0</v>
      </c>
    </row>
    <row r="14" customFormat="false" ht="15" hidden="false" customHeight="false" outlineLevel="0" collapsed="false">
      <c r="A14" s="7" t="n">
        <v>46219</v>
      </c>
      <c r="B14" s="8" t="n">
        <v>3685</v>
      </c>
      <c r="C14" s="8" t="n">
        <v>1</v>
      </c>
      <c r="D14" s="8"/>
      <c r="E14" s="8"/>
      <c r="F14" s="8"/>
      <c r="G14" s="8" t="n">
        <v>0</v>
      </c>
      <c r="H14" s="8" t="n">
        <v>0</v>
      </c>
    </row>
    <row r="15" customFormat="false" ht="15" hidden="false" customHeight="false" outlineLevel="0" collapsed="false">
      <c r="A15" s="7" t="n">
        <v>46219</v>
      </c>
      <c r="B15" s="8" t="n">
        <v>3686</v>
      </c>
      <c r="C15" s="8" t="n">
        <v>2</v>
      </c>
      <c r="D15" s="8"/>
      <c r="E15" s="8"/>
      <c r="F15" s="8"/>
      <c r="G15" s="8" t="n">
        <v>0</v>
      </c>
      <c r="H15" s="8" t="n">
        <v>0</v>
      </c>
    </row>
    <row r="16" customFormat="false" ht="15" hidden="false" customHeight="false" outlineLevel="0" collapsed="false">
      <c r="A16" s="7" t="n">
        <v>46219</v>
      </c>
      <c r="B16" s="8" t="n">
        <v>3686</v>
      </c>
      <c r="C16" s="8" t="n">
        <v>1</v>
      </c>
      <c r="D16" s="8"/>
      <c r="E16" s="8"/>
      <c r="F16" s="8"/>
      <c r="G16" s="8" t="n">
        <v>0</v>
      </c>
      <c r="H16" s="8" t="n">
        <v>0</v>
      </c>
    </row>
    <row r="17" customFormat="false" ht="15" hidden="false" customHeight="false" outlineLevel="0" collapsed="false">
      <c r="A17" s="7" t="n">
        <v>46219</v>
      </c>
      <c r="B17" s="8" t="n">
        <v>3687</v>
      </c>
      <c r="C17" s="8" t="n">
        <v>2</v>
      </c>
      <c r="D17" s="8"/>
      <c r="E17" s="8"/>
      <c r="F17" s="8"/>
      <c r="G17" s="8" t="n">
        <v>0</v>
      </c>
      <c r="H17" s="8" t="n">
        <v>0</v>
      </c>
    </row>
    <row r="18" customFormat="false" ht="15" hidden="false" customHeight="false" outlineLevel="0" collapsed="false">
      <c r="A18" s="7" t="n">
        <v>46219</v>
      </c>
      <c r="B18" s="8" t="n">
        <v>3676</v>
      </c>
      <c r="C18" s="8" t="n">
        <v>1</v>
      </c>
      <c r="D18" s="8"/>
      <c r="E18" s="8"/>
      <c r="F18" s="8"/>
      <c r="G18" s="8" t="n">
        <v>0</v>
      </c>
      <c r="H18" s="8" t="n">
        <v>0</v>
      </c>
    </row>
    <row r="19" customFormat="false" ht="15" hidden="false" customHeight="false" outlineLevel="0" collapsed="false">
      <c r="A19" s="7" t="n">
        <v>46219</v>
      </c>
      <c r="B19" s="8" t="n">
        <v>3677</v>
      </c>
      <c r="C19" s="8" t="n">
        <v>2</v>
      </c>
      <c r="D19" s="8"/>
      <c r="E19" s="8"/>
      <c r="F19" s="8"/>
      <c r="G19" s="8" t="n">
        <v>0</v>
      </c>
      <c r="H19" s="8" t="n">
        <v>0</v>
      </c>
    </row>
    <row r="20" customFormat="false" ht="15" hidden="false" customHeight="false" outlineLevel="0" collapsed="false">
      <c r="A20" s="7" t="n">
        <v>46219</v>
      </c>
      <c r="B20" s="8" t="n">
        <v>3697</v>
      </c>
      <c r="C20" s="8" t="n">
        <v>1</v>
      </c>
      <c r="D20" s="8"/>
      <c r="E20" s="8"/>
      <c r="F20" s="8"/>
      <c r="G20" s="8" t="n">
        <v>0</v>
      </c>
      <c r="H20" s="8" t="n">
        <v>0</v>
      </c>
    </row>
    <row r="21" customFormat="false" ht="15" hidden="false" customHeight="false" outlineLevel="0" collapsed="false">
      <c r="A21" s="7" t="n">
        <v>46219</v>
      </c>
      <c r="B21" s="8" t="n">
        <v>3698</v>
      </c>
      <c r="C21" s="8" t="n">
        <v>2</v>
      </c>
      <c r="D21" s="8"/>
      <c r="E21" s="8"/>
      <c r="F21" s="8"/>
      <c r="G21" s="8" t="n">
        <v>0</v>
      </c>
      <c r="H21" s="8" t="n">
        <v>0</v>
      </c>
    </row>
    <row r="22" customFormat="false" ht="15" hidden="false" customHeight="false" outlineLevel="0" collapsed="false">
      <c r="A22" s="7" t="n">
        <v>46219</v>
      </c>
      <c r="B22" s="8" t="n">
        <v>3699</v>
      </c>
      <c r="C22" s="8" t="n">
        <v>3</v>
      </c>
      <c r="D22" s="8"/>
      <c r="E22" s="8"/>
      <c r="F22" s="8"/>
      <c r="G22" s="8" t="n">
        <v>0</v>
      </c>
      <c r="H22" s="8" t="n">
        <v>0</v>
      </c>
    </row>
    <row r="23" customFormat="false" ht="15" hidden="false" customHeight="false" outlineLevel="0" collapsed="false">
      <c r="A23" s="7" t="n">
        <v>46220</v>
      </c>
      <c r="B23" s="8" t="n">
        <v>3671</v>
      </c>
      <c r="C23" s="8" t="n">
        <v>1</v>
      </c>
      <c r="D23" s="8"/>
      <c r="E23" s="8"/>
      <c r="F23" s="8"/>
      <c r="G23" s="8" t="n">
        <v>0</v>
      </c>
      <c r="H23" s="8" t="n">
        <v>0</v>
      </c>
    </row>
    <row r="24" customFormat="false" ht="15" hidden="false" customHeight="false" outlineLevel="0" collapsed="false">
      <c r="A24" s="7" t="n">
        <v>46220</v>
      </c>
      <c r="B24" s="8" t="n">
        <v>3672</v>
      </c>
      <c r="C24" s="8" t="n">
        <v>2</v>
      </c>
      <c r="D24" s="8"/>
      <c r="E24" s="8"/>
      <c r="F24" s="8"/>
      <c r="G24" s="8" t="n">
        <v>0</v>
      </c>
      <c r="H24" s="8" t="n">
        <v>0</v>
      </c>
    </row>
    <row r="25" customFormat="false" ht="15" hidden="false" customHeight="false" outlineLevel="0" collapsed="false">
      <c r="A25" s="7" t="n">
        <v>46220</v>
      </c>
      <c r="B25" s="8" t="n">
        <v>3673</v>
      </c>
      <c r="C25" s="8" t="n">
        <v>3</v>
      </c>
      <c r="D25" s="8"/>
      <c r="E25" s="8"/>
      <c r="F25" s="8"/>
      <c r="G25" s="8" t="n">
        <v>0</v>
      </c>
      <c r="H25" s="8" t="n">
        <v>0</v>
      </c>
    </row>
    <row r="26" customFormat="false" ht="15" hidden="false" customHeight="false" outlineLevel="0" collapsed="false">
      <c r="A26" s="7" t="n">
        <v>46220</v>
      </c>
      <c r="B26" s="8" t="n">
        <v>3698</v>
      </c>
      <c r="C26" s="8" t="n">
        <v>1</v>
      </c>
      <c r="D26" s="8"/>
      <c r="E26" s="8"/>
      <c r="F26" s="8"/>
      <c r="G26" s="8" t="n">
        <v>0</v>
      </c>
      <c r="H26" s="8" t="n">
        <v>0</v>
      </c>
    </row>
    <row r="27" customFormat="false" ht="15" hidden="false" customHeight="false" outlineLevel="0" collapsed="false">
      <c r="A27" s="7" t="n">
        <v>46220</v>
      </c>
      <c r="B27" s="8" t="n">
        <v>3699</v>
      </c>
      <c r="C27" s="8" t="n">
        <v>2</v>
      </c>
      <c r="D27" s="8"/>
      <c r="E27" s="8"/>
      <c r="F27" s="8"/>
      <c r="G27" s="8" t="n">
        <v>0</v>
      </c>
      <c r="H27" s="8" t="n">
        <v>0</v>
      </c>
    </row>
    <row r="28" customFormat="false" ht="15" hidden="false" customHeight="false" outlineLevel="0" collapsed="false">
      <c r="A28" s="7" t="n">
        <v>46220</v>
      </c>
      <c r="B28" s="8" t="n">
        <v>3672</v>
      </c>
      <c r="C28" s="8" t="n">
        <v>1</v>
      </c>
      <c r="D28" s="8"/>
      <c r="E28" s="8"/>
      <c r="F28" s="8"/>
      <c r="G28" s="8" t="n">
        <v>0</v>
      </c>
      <c r="H28" s="8" t="n">
        <v>0</v>
      </c>
    </row>
    <row r="29" customFormat="false" ht="15" hidden="false" customHeight="false" outlineLevel="0" collapsed="false">
      <c r="A29" s="7" t="n">
        <v>46220</v>
      </c>
      <c r="B29" s="8" t="n">
        <v>3673</v>
      </c>
      <c r="C29" s="8" t="n">
        <v>2</v>
      </c>
      <c r="D29" s="8"/>
      <c r="E29" s="8"/>
      <c r="F29" s="8"/>
      <c r="G29" s="8" t="n">
        <v>0</v>
      </c>
      <c r="H29" s="8" t="n">
        <v>0</v>
      </c>
    </row>
    <row r="30" customFormat="false" ht="15" hidden="false" customHeight="false" outlineLevel="0" collapsed="false">
      <c r="A30" s="7" t="n">
        <v>46220</v>
      </c>
      <c r="B30" s="8" t="n">
        <v>3702</v>
      </c>
      <c r="C30" s="8" t="n">
        <v>1</v>
      </c>
      <c r="D30" s="8"/>
      <c r="E30" s="8"/>
      <c r="F30" s="8"/>
      <c r="G30" s="8" t="n">
        <v>0</v>
      </c>
      <c r="H30" s="8" t="n">
        <v>0</v>
      </c>
    </row>
    <row r="31" customFormat="false" ht="15" hidden="false" customHeight="false" outlineLevel="0" collapsed="false">
      <c r="A31" s="7" t="n">
        <v>46220</v>
      </c>
      <c r="B31" s="8" t="n">
        <v>3699</v>
      </c>
      <c r="C31" s="8" t="n">
        <v>1</v>
      </c>
      <c r="D31" s="8"/>
      <c r="E31" s="8"/>
      <c r="F31" s="8"/>
      <c r="G31" s="8" t="n">
        <v>0</v>
      </c>
      <c r="H31" s="8" t="n">
        <v>0</v>
      </c>
    </row>
    <row r="32" customFormat="false" ht="15" hidden="false" customHeight="false" outlineLevel="0" collapsed="false">
      <c r="A32" s="7" t="n">
        <v>46220</v>
      </c>
      <c r="B32" s="8" t="n">
        <v>3700</v>
      </c>
      <c r="C32" s="8" t="n">
        <v>2</v>
      </c>
      <c r="D32" s="8"/>
      <c r="E32" s="8"/>
      <c r="F32" s="8"/>
      <c r="G32" s="8" t="n">
        <v>0</v>
      </c>
      <c r="H32" s="8" t="n">
        <v>0</v>
      </c>
    </row>
    <row r="33" customFormat="false" ht="15" hidden="false" customHeight="false" outlineLevel="0" collapsed="false">
      <c r="A33" s="7" t="n">
        <v>46220</v>
      </c>
      <c r="B33" s="8" t="n">
        <v>3701</v>
      </c>
      <c r="C33" s="8" t="n">
        <v>3</v>
      </c>
      <c r="D33" s="8"/>
      <c r="E33" s="8"/>
      <c r="F33" s="8"/>
      <c r="G33" s="8" t="n">
        <v>0</v>
      </c>
      <c r="H33" s="8" t="n">
        <v>0</v>
      </c>
    </row>
    <row r="34" customFormat="false" ht="15" hidden="false" customHeight="false" outlineLevel="0" collapsed="false">
      <c r="A34" s="7" t="n">
        <v>46220</v>
      </c>
      <c r="B34" s="8" t="n">
        <v>3702</v>
      </c>
      <c r="C34" s="8" t="n">
        <v>4</v>
      </c>
      <c r="D34" s="8"/>
      <c r="E34" s="8"/>
      <c r="F34" s="8"/>
      <c r="G34" s="8" t="n">
        <v>0</v>
      </c>
      <c r="H34" s="8" t="n">
        <v>0</v>
      </c>
    </row>
    <row r="35" customFormat="false" ht="15" hidden="false" customHeight="false" outlineLevel="0" collapsed="false">
      <c r="A35" s="7" t="n">
        <v>46220</v>
      </c>
      <c r="B35" s="8" t="n">
        <v>3687</v>
      </c>
      <c r="C35" s="8" t="n">
        <v>1</v>
      </c>
      <c r="D35" s="8"/>
      <c r="E35" s="8"/>
      <c r="F35" s="8"/>
      <c r="G35" s="8" t="n">
        <v>0</v>
      </c>
      <c r="H35" s="8" t="n">
        <v>0</v>
      </c>
    </row>
    <row r="36" customFormat="false" ht="15" hidden="false" customHeight="false" outlineLevel="0" collapsed="false">
      <c r="A36" s="7" t="n">
        <v>46220</v>
      </c>
      <c r="B36" s="8" t="n">
        <v>3688</v>
      </c>
      <c r="C36" s="8" t="n">
        <v>2</v>
      </c>
      <c r="D36" s="8"/>
      <c r="E36" s="8"/>
      <c r="F36" s="8"/>
      <c r="G36" s="8" t="n">
        <v>0</v>
      </c>
      <c r="H36" s="8" t="n">
        <v>0</v>
      </c>
    </row>
    <row r="37" customFormat="false" ht="15" hidden="false" customHeight="false" outlineLevel="0" collapsed="false">
      <c r="A37" s="7" t="n">
        <v>46220</v>
      </c>
      <c r="B37" s="8" t="n">
        <v>3689</v>
      </c>
      <c r="C37" s="8" t="n">
        <v>3</v>
      </c>
      <c r="D37" s="8" t="n">
        <v>24</v>
      </c>
      <c r="E37" s="8" t="n">
        <v>21.6</v>
      </c>
      <c r="F37" s="8" t="n">
        <v>90</v>
      </c>
      <c r="G37" s="8" t="n">
        <v>0</v>
      </c>
      <c r="H37" s="8" t="n">
        <v>0</v>
      </c>
    </row>
    <row r="38" customFormat="false" ht="15" hidden="false" customHeight="false" outlineLevel="0" collapsed="false">
      <c r="A38" s="7" t="n">
        <v>46220</v>
      </c>
      <c r="B38" s="8" t="n">
        <v>3690</v>
      </c>
      <c r="C38" s="8" t="n">
        <v>4</v>
      </c>
      <c r="D38" s="8" t="n">
        <v>24</v>
      </c>
      <c r="E38" s="8" t="n">
        <v>21.6</v>
      </c>
      <c r="F38" s="8" t="n">
        <v>90</v>
      </c>
      <c r="G38" s="8" t="n">
        <v>0</v>
      </c>
      <c r="H38" s="8" t="n">
        <v>0</v>
      </c>
    </row>
    <row r="39" customFormat="false" ht="15" hidden="false" customHeight="false" outlineLevel="0" collapsed="false">
      <c r="A39" s="7" t="n">
        <v>46224</v>
      </c>
      <c r="B39" s="8" t="n">
        <v>3673</v>
      </c>
      <c r="C39" s="8" t="n">
        <v>1</v>
      </c>
      <c r="D39" s="8" t="n">
        <v>16.35</v>
      </c>
      <c r="E39" s="8" t="n">
        <v>14.72</v>
      </c>
      <c r="F39" s="8" t="n">
        <v>90.03</v>
      </c>
      <c r="G39" s="8" t="n">
        <v>0</v>
      </c>
      <c r="H39" s="8" t="n">
        <v>0</v>
      </c>
    </row>
    <row r="40" customFormat="false" ht="15" hidden="false" customHeight="false" outlineLevel="0" collapsed="false">
      <c r="A40" s="7" t="n">
        <v>46224</v>
      </c>
      <c r="B40" s="8" t="n">
        <v>3706</v>
      </c>
      <c r="C40" s="8" t="n">
        <v>1</v>
      </c>
      <c r="D40" s="8" t="n">
        <v>9.7</v>
      </c>
      <c r="E40" s="8" t="n">
        <v>8.73</v>
      </c>
      <c r="F40" s="8" t="n">
        <v>90</v>
      </c>
      <c r="G40" s="8" t="n">
        <v>0</v>
      </c>
      <c r="H40" s="8" t="n">
        <v>0</v>
      </c>
    </row>
    <row r="41" customFormat="false" ht="15" hidden="false" customHeight="false" outlineLevel="0" collapsed="false">
      <c r="A41" s="7" t="n">
        <v>46224</v>
      </c>
      <c r="B41" s="8" t="n">
        <v>3699</v>
      </c>
      <c r="C41" s="8" t="n">
        <v>4</v>
      </c>
      <c r="D41" s="8" t="n">
        <v>21.28</v>
      </c>
      <c r="E41" s="8" t="n">
        <v>19.15</v>
      </c>
      <c r="F41" s="8" t="n">
        <v>89.99</v>
      </c>
      <c r="G41" s="8" t="n">
        <v>0</v>
      </c>
      <c r="H41" s="8" t="n">
        <v>0</v>
      </c>
    </row>
    <row r="42" customFormat="false" ht="15" hidden="false" customHeight="false" outlineLevel="0" collapsed="false">
      <c r="A42" s="7" t="n">
        <v>46224</v>
      </c>
      <c r="B42" s="8" t="n">
        <v>3700</v>
      </c>
      <c r="C42" s="8" t="n">
        <v>5</v>
      </c>
      <c r="D42" s="8" t="n">
        <v>21.28</v>
      </c>
      <c r="E42" s="8" t="n">
        <v>19.15</v>
      </c>
      <c r="F42" s="8" t="n">
        <v>89.99</v>
      </c>
      <c r="G42" s="8" t="n">
        <v>0</v>
      </c>
      <c r="H42" s="8" t="n">
        <v>0</v>
      </c>
    </row>
    <row r="43" customFormat="false" ht="15" hidden="false" customHeight="false" outlineLevel="0" collapsed="false">
      <c r="A43" s="7" t="n">
        <v>46224</v>
      </c>
      <c r="B43" s="8" t="n">
        <v>3701</v>
      </c>
      <c r="C43" s="8" t="n">
        <v>6</v>
      </c>
      <c r="D43" s="8" t="n">
        <v>21.28</v>
      </c>
      <c r="E43" s="8" t="n">
        <v>19.15</v>
      </c>
      <c r="F43" s="8" t="n">
        <v>89.99</v>
      </c>
      <c r="G43" s="8" t="n">
        <v>0</v>
      </c>
      <c r="H43" s="8" t="n">
        <v>0</v>
      </c>
    </row>
    <row r="44" customFormat="false" ht="15" hidden="false" customHeight="false" outlineLevel="0" collapsed="false">
      <c r="A44" s="7" t="n">
        <v>46224</v>
      </c>
      <c r="B44" s="8" t="n">
        <v>3702</v>
      </c>
      <c r="C44" s="8" t="n">
        <v>7</v>
      </c>
      <c r="D44" s="8" t="n">
        <v>21.28</v>
      </c>
      <c r="E44" s="8" t="n">
        <v>19.15</v>
      </c>
      <c r="F44" s="8" t="n">
        <v>89.99</v>
      </c>
      <c r="G44" s="8" t="n">
        <v>0</v>
      </c>
      <c r="H44" s="8" t="n">
        <v>0</v>
      </c>
    </row>
    <row r="45" customFormat="false" ht="15" hidden="false" customHeight="false" outlineLevel="0" collapsed="false">
      <c r="A45" s="7" t="n">
        <v>46224</v>
      </c>
      <c r="B45" s="8" t="n">
        <v>3700</v>
      </c>
      <c r="C45" s="8" t="n">
        <v>1</v>
      </c>
      <c r="D45" s="8" t="n">
        <v>27.25</v>
      </c>
      <c r="E45" s="8" t="n">
        <v>24.52</v>
      </c>
      <c r="F45" s="8" t="n">
        <v>89.98</v>
      </c>
      <c r="G45" s="8" t="n">
        <v>0</v>
      </c>
      <c r="H45" s="8" t="n">
        <v>0</v>
      </c>
    </row>
    <row r="46" customFormat="false" ht="15" hidden="false" customHeight="false" outlineLevel="0" collapsed="false">
      <c r="A46" s="7" t="n">
        <v>46224</v>
      </c>
      <c r="B46" s="8" t="n">
        <v>3701</v>
      </c>
      <c r="C46" s="8" t="n">
        <v>2</v>
      </c>
      <c r="D46" s="8" t="n">
        <v>27.25</v>
      </c>
      <c r="E46" s="8" t="n">
        <v>24.52</v>
      </c>
      <c r="F46" s="8" t="n">
        <v>89.98</v>
      </c>
      <c r="G46" s="8" t="n">
        <v>0</v>
      </c>
      <c r="H46" s="8" t="n">
        <v>0</v>
      </c>
    </row>
    <row r="47" customFormat="false" ht="15" hidden="false" customHeight="false" outlineLevel="0" collapsed="false">
      <c r="A47" s="7" t="n">
        <v>46224</v>
      </c>
      <c r="B47" s="8" t="n">
        <v>1197</v>
      </c>
      <c r="C47" s="8" t="n">
        <v>1</v>
      </c>
      <c r="D47" s="8" t="n">
        <v>25</v>
      </c>
      <c r="E47" s="8" t="n">
        <v>22.5</v>
      </c>
      <c r="F47" s="8" t="n">
        <v>90</v>
      </c>
      <c r="G47" s="8" t="n">
        <v>0</v>
      </c>
      <c r="H47" s="8" t="n">
        <v>0</v>
      </c>
    </row>
    <row r="48" customFormat="false" ht="15" hidden="false" customHeight="false" outlineLevel="0" collapsed="false">
      <c r="A48" s="7" t="n">
        <v>46224</v>
      </c>
      <c r="B48" s="8" t="n">
        <v>1198</v>
      </c>
      <c r="C48" s="8" t="n">
        <v>2</v>
      </c>
      <c r="D48" s="8" t="n">
        <v>25</v>
      </c>
      <c r="E48" s="8" t="n">
        <v>22.5</v>
      </c>
      <c r="F48" s="8" t="n">
        <v>90</v>
      </c>
      <c r="G48" s="8" t="n">
        <v>0</v>
      </c>
      <c r="H48" s="8" t="n">
        <v>0</v>
      </c>
    </row>
    <row r="49" customFormat="false" ht="15" hidden="false" customHeight="false" outlineLevel="0" collapsed="false">
      <c r="A49" s="7" t="n">
        <v>46224</v>
      </c>
      <c r="B49" s="8" t="n">
        <v>1199</v>
      </c>
      <c r="C49" s="8" t="n">
        <v>3</v>
      </c>
      <c r="D49" s="8" t="n">
        <v>25</v>
      </c>
      <c r="E49" s="8" t="n">
        <v>22.5</v>
      </c>
      <c r="F49" s="8" t="n">
        <v>90</v>
      </c>
      <c r="G49" s="8" t="n">
        <v>0</v>
      </c>
      <c r="H49" s="8" t="n">
        <v>0</v>
      </c>
    </row>
    <row r="50" customFormat="false" ht="15" hidden="false" customHeight="false" outlineLevel="0" collapsed="false">
      <c r="A50" s="7" t="n">
        <v>46224</v>
      </c>
      <c r="B50" s="8" t="n">
        <v>1200</v>
      </c>
      <c r="C50" s="8" t="n">
        <v>4</v>
      </c>
      <c r="D50" s="8" t="n">
        <v>25</v>
      </c>
      <c r="E50" s="8" t="n">
        <v>22.5</v>
      </c>
      <c r="F50" s="8" t="n">
        <v>90</v>
      </c>
      <c r="G50" s="8" t="n">
        <v>0</v>
      </c>
      <c r="H50" s="8" t="n">
        <v>0</v>
      </c>
    </row>
    <row r="51" customFormat="false" ht="15" hidden="false" customHeight="false" outlineLevel="0" collapsed="false">
      <c r="A51" s="7" t="n">
        <v>46224</v>
      </c>
      <c r="B51" s="8" t="n">
        <v>1201</v>
      </c>
      <c r="C51" s="8" t="n">
        <v>5</v>
      </c>
      <c r="D51" s="8" t="n">
        <v>25</v>
      </c>
      <c r="E51" s="8" t="n">
        <v>22.5</v>
      </c>
      <c r="F51" s="8" t="n">
        <v>90</v>
      </c>
      <c r="G51" s="8" t="n">
        <v>0</v>
      </c>
      <c r="H51" s="8" t="n">
        <v>0</v>
      </c>
    </row>
    <row r="52" customFormat="false" ht="15" hidden="false" customHeight="false" outlineLevel="0" collapsed="false">
      <c r="A52" s="7" t="n">
        <v>46224</v>
      </c>
      <c r="B52" s="8" t="n">
        <v>1202</v>
      </c>
      <c r="C52" s="8" t="n">
        <v>6</v>
      </c>
      <c r="D52" s="8" t="n">
        <v>25</v>
      </c>
      <c r="E52" s="8" t="n">
        <v>22.5</v>
      </c>
      <c r="F52" s="8" t="n">
        <v>90</v>
      </c>
      <c r="G52" s="8" t="n">
        <v>0</v>
      </c>
      <c r="H52" s="8" t="n">
        <v>0</v>
      </c>
    </row>
    <row r="53" customFormat="false" ht="15" hidden="false" customHeight="false" outlineLevel="0" collapsed="false">
      <c r="A53" s="7" t="n">
        <v>46224</v>
      </c>
      <c r="B53" s="8" t="n">
        <v>1203</v>
      </c>
      <c r="C53" s="8" t="n">
        <v>7</v>
      </c>
      <c r="D53" s="8" t="n">
        <v>25</v>
      </c>
      <c r="E53" s="8" t="n">
        <v>22.5</v>
      </c>
      <c r="F53" s="8" t="n">
        <v>90</v>
      </c>
      <c r="G53" s="8" t="n">
        <v>0</v>
      </c>
      <c r="H53" s="8" t="n">
        <v>0</v>
      </c>
    </row>
    <row r="54" customFormat="false" ht="15" hidden="false" customHeight="false" outlineLevel="0" collapsed="false">
      <c r="A54" s="7" t="n">
        <v>46224</v>
      </c>
      <c r="B54" s="8" t="n">
        <v>1204</v>
      </c>
      <c r="C54" s="8" t="n">
        <v>8</v>
      </c>
      <c r="D54" s="8" t="n">
        <v>25</v>
      </c>
      <c r="E54" s="8" t="n">
        <v>22.5</v>
      </c>
      <c r="F54" s="8" t="n">
        <v>90</v>
      </c>
      <c r="G54" s="8" t="n">
        <v>0</v>
      </c>
      <c r="H54" s="8" t="n">
        <v>0</v>
      </c>
    </row>
    <row r="55" customFormat="false" ht="15" hidden="false" customHeight="false" outlineLevel="0" collapsed="false">
      <c r="A55" s="7" t="n">
        <v>46224</v>
      </c>
      <c r="B55" s="8" t="n">
        <v>1205</v>
      </c>
      <c r="C55" s="8" t="n">
        <v>9</v>
      </c>
      <c r="D55" s="8" t="n">
        <v>25</v>
      </c>
      <c r="E55" s="8" t="n">
        <v>22.5</v>
      </c>
      <c r="F55" s="8" t="n">
        <v>90</v>
      </c>
      <c r="G55" s="8" t="n">
        <v>0</v>
      </c>
      <c r="H55" s="8" t="n">
        <v>0</v>
      </c>
    </row>
    <row r="56" customFormat="false" ht="15" hidden="false" customHeight="false" outlineLevel="0" collapsed="false">
      <c r="A56" s="7" t="n">
        <v>46224</v>
      </c>
      <c r="B56" s="8" t="n">
        <v>1206</v>
      </c>
      <c r="C56" s="8" t="n">
        <v>10</v>
      </c>
      <c r="D56" s="8" t="n">
        <v>25</v>
      </c>
      <c r="E56" s="8" t="n">
        <v>22.5</v>
      </c>
      <c r="F56" s="8" t="n">
        <v>90</v>
      </c>
      <c r="G56" s="8" t="n">
        <v>0</v>
      </c>
      <c r="H56" s="8" t="n">
        <v>0</v>
      </c>
    </row>
    <row r="57" customFormat="false" ht="15" hidden="false" customHeight="false" outlineLevel="0" collapsed="false">
      <c r="A57" s="7" t="n">
        <v>46224</v>
      </c>
      <c r="B57" s="8" t="n">
        <v>3677</v>
      </c>
      <c r="C57" s="8" t="n">
        <v>1</v>
      </c>
      <c r="D57" s="8" t="n">
        <v>16.6</v>
      </c>
      <c r="E57" s="8" t="n">
        <v>14.94</v>
      </c>
      <c r="F57" s="8" t="n">
        <v>90</v>
      </c>
      <c r="G57" s="8" t="n">
        <v>0</v>
      </c>
      <c r="H57" s="8" t="n">
        <v>0</v>
      </c>
    </row>
    <row r="58" customFormat="false" ht="15" hidden="false" customHeight="false" outlineLevel="0" collapsed="false">
      <c r="A58" s="7" t="n">
        <v>46224</v>
      </c>
      <c r="B58" s="8" t="n">
        <v>3696</v>
      </c>
      <c r="C58" s="8" t="n">
        <v>1</v>
      </c>
      <c r="D58" s="8" t="n">
        <v>24.05</v>
      </c>
      <c r="E58" s="8" t="n">
        <v>21.64</v>
      </c>
      <c r="F58" s="8" t="n">
        <v>89.98</v>
      </c>
      <c r="G58" s="8" t="n">
        <v>0</v>
      </c>
      <c r="H58" s="8" t="n">
        <v>0</v>
      </c>
    </row>
    <row r="59" customFormat="false" ht="15" hidden="false" customHeight="false" outlineLevel="0" collapsed="false">
      <c r="A59" s="7" t="n">
        <v>46224</v>
      </c>
      <c r="B59" s="8" t="n">
        <v>3695</v>
      </c>
      <c r="C59" s="8" t="n">
        <v>1</v>
      </c>
      <c r="D59" s="8" t="n">
        <v>20</v>
      </c>
      <c r="E59" s="8" t="n">
        <v>18</v>
      </c>
      <c r="F59" s="8" t="n">
        <v>90</v>
      </c>
      <c r="G59" s="8" t="n">
        <v>0</v>
      </c>
      <c r="H59" s="8" t="n">
        <v>0</v>
      </c>
    </row>
    <row r="60" customFormat="false" ht="15" hidden="false" customHeight="false" outlineLevel="0" collapsed="false">
      <c r="A60" s="7" t="n">
        <v>46224</v>
      </c>
      <c r="B60" s="8" t="n">
        <v>3696</v>
      </c>
      <c r="C60" s="8" t="n">
        <v>2</v>
      </c>
      <c r="D60" s="8" t="n">
        <v>13</v>
      </c>
      <c r="E60" s="8" t="n">
        <v>11.7</v>
      </c>
      <c r="F60" s="8" t="n">
        <v>90</v>
      </c>
      <c r="G60" s="8" t="n">
        <v>0</v>
      </c>
      <c r="H60" s="8" t="n">
        <v>0</v>
      </c>
    </row>
    <row r="61" customFormat="false" ht="15" hidden="false" customHeight="false" outlineLevel="0" collapsed="false">
      <c r="A61" s="7" t="n">
        <v>46224</v>
      </c>
      <c r="B61" s="8" t="n">
        <v>3697</v>
      </c>
      <c r="C61" s="8" t="n">
        <v>3</v>
      </c>
      <c r="D61" s="8" t="n">
        <v>8.5</v>
      </c>
      <c r="E61" s="8" t="n">
        <v>7.65</v>
      </c>
      <c r="F61" s="8" t="n">
        <v>90</v>
      </c>
      <c r="G61" s="8" t="n">
        <v>0</v>
      </c>
      <c r="H61" s="8" t="n">
        <v>0</v>
      </c>
    </row>
    <row r="62" customFormat="false" ht="15" hidden="false" customHeight="false" outlineLevel="0" collapsed="false">
      <c r="A62" s="7" t="n">
        <v>46224</v>
      </c>
      <c r="B62" s="8" t="n">
        <v>3698</v>
      </c>
      <c r="C62" s="8" t="n">
        <v>4</v>
      </c>
      <c r="D62" s="8" t="n">
        <v>14</v>
      </c>
      <c r="E62" s="8" t="n">
        <v>12.6</v>
      </c>
      <c r="F62" s="8" t="n">
        <v>90</v>
      </c>
      <c r="G62" s="8" t="n">
        <v>0</v>
      </c>
      <c r="H62" s="8" t="n">
        <v>0</v>
      </c>
    </row>
    <row r="63" customFormat="false" ht="15" hidden="false" customHeight="false" outlineLevel="0" collapsed="false">
      <c r="A63" s="7" t="n">
        <v>46225</v>
      </c>
      <c r="B63" s="8" t="n">
        <v>3721</v>
      </c>
      <c r="C63" s="8" t="n">
        <v>1</v>
      </c>
      <c r="D63" s="8" t="n">
        <v>25</v>
      </c>
      <c r="E63" s="8" t="n">
        <v>22.5</v>
      </c>
      <c r="F63" s="8" t="n">
        <v>90</v>
      </c>
      <c r="G63" s="8" t="n">
        <v>0</v>
      </c>
      <c r="H63" s="8" t="n">
        <v>0</v>
      </c>
    </row>
    <row r="64" customFormat="false" ht="15" hidden="false" customHeight="false" outlineLevel="0" collapsed="false">
      <c r="A64" s="7" t="n">
        <v>46225</v>
      </c>
      <c r="B64" s="8" t="n">
        <v>3701</v>
      </c>
      <c r="C64" s="8" t="n">
        <v>1</v>
      </c>
      <c r="D64" s="8" t="n">
        <v>25</v>
      </c>
      <c r="E64" s="8" t="n">
        <v>22.5</v>
      </c>
      <c r="F64" s="8" t="n">
        <v>90</v>
      </c>
      <c r="G64" s="8" t="n">
        <v>0</v>
      </c>
      <c r="H64" s="8" t="n">
        <v>0</v>
      </c>
    </row>
    <row r="65" customFormat="false" ht="15" hidden="false" customHeight="false" outlineLevel="0" collapsed="false">
      <c r="A65" s="7" t="n">
        <v>46225</v>
      </c>
      <c r="B65" s="8" t="n">
        <v>3693</v>
      </c>
      <c r="C65" s="8" t="n">
        <v>1</v>
      </c>
      <c r="D65" s="8" t="n">
        <v>17</v>
      </c>
      <c r="E65" s="8" t="n">
        <v>15.3</v>
      </c>
      <c r="F65" s="8" t="n">
        <v>90</v>
      </c>
      <c r="G65" s="8" t="n">
        <v>0</v>
      </c>
      <c r="H65" s="8" t="n">
        <v>0</v>
      </c>
    </row>
    <row r="66" customFormat="false" ht="15" hidden="false" customHeight="false" outlineLevel="0" collapsed="false">
      <c r="A66" s="7" t="n">
        <v>46225</v>
      </c>
      <c r="B66" s="8" t="n">
        <v>3694</v>
      </c>
      <c r="C66" s="8" t="n">
        <v>2</v>
      </c>
      <c r="D66" s="8" t="n">
        <v>17</v>
      </c>
      <c r="E66" s="8" t="n">
        <v>15.3</v>
      </c>
      <c r="F66" s="8" t="n">
        <v>90</v>
      </c>
      <c r="G66" s="8" t="n">
        <v>0</v>
      </c>
      <c r="H66" s="8" t="n">
        <v>0</v>
      </c>
    </row>
    <row r="67" customFormat="false" ht="15" hidden="false" customHeight="false" outlineLevel="0" collapsed="false">
      <c r="A67" s="7" t="n">
        <v>46225</v>
      </c>
      <c r="B67" s="8" t="n">
        <v>3690</v>
      </c>
      <c r="C67" s="8" t="n">
        <v>1</v>
      </c>
      <c r="D67" s="8" t="n">
        <v>20.9</v>
      </c>
      <c r="E67" s="8" t="n">
        <v>18.81</v>
      </c>
      <c r="F67" s="8" t="n">
        <v>90</v>
      </c>
      <c r="G67" s="8" t="n">
        <v>0</v>
      </c>
      <c r="H67" s="8" t="n">
        <v>0</v>
      </c>
    </row>
    <row r="68" customFormat="false" ht="15" hidden="false" customHeight="false" outlineLevel="0" collapsed="false">
      <c r="A68" s="7" t="n">
        <v>46225</v>
      </c>
      <c r="B68" s="8" t="n">
        <v>3687</v>
      </c>
      <c r="C68" s="8" t="n">
        <v>5</v>
      </c>
      <c r="D68" s="8" t="n">
        <v>15</v>
      </c>
      <c r="E68" s="8" t="n">
        <v>13.5</v>
      </c>
      <c r="F68" s="8" t="n">
        <v>90</v>
      </c>
      <c r="G68" s="8" t="n">
        <v>0</v>
      </c>
      <c r="H68" s="8" t="n">
        <v>0</v>
      </c>
    </row>
    <row r="69" customFormat="false" ht="15" hidden="false" customHeight="false" outlineLevel="0" collapsed="false">
      <c r="A69" s="7" t="n">
        <v>46225</v>
      </c>
      <c r="B69" s="8" t="n">
        <v>3678</v>
      </c>
      <c r="C69" s="8" t="n">
        <v>1</v>
      </c>
      <c r="D69" s="8" t="n">
        <v>16.15</v>
      </c>
      <c r="E69" s="8" t="n">
        <v>14.53</v>
      </c>
      <c r="F69" s="8" t="n">
        <v>89.97</v>
      </c>
      <c r="G69" s="8" t="n">
        <v>0</v>
      </c>
      <c r="H69" s="8" t="n">
        <v>0</v>
      </c>
    </row>
    <row r="70" customFormat="false" ht="15" hidden="false" customHeight="false" outlineLevel="0" collapsed="false">
      <c r="A70" s="7" t="n">
        <v>46225</v>
      </c>
      <c r="B70" s="8" t="n">
        <v>3705</v>
      </c>
      <c r="C70" s="8" t="n">
        <v>1</v>
      </c>
      <c r="D70" s="8" t="n">
        <v>16</v>
      </c>
      <c r="E70" s="8" t="n">
        <v>14.4</v>
      </c>
      <c r="F70" s="8" t="n">
        <v>90</v>
      </c>
      <c r="G70" s="8" t="n">
        <v>0</v>
      </c>
      <c r="H70" s="8" t="n">
        <v>0</v>
      </c>
    </row>
    <row r="71" customFormat="false" ht="15" hidden="false" customHeight="false" outlineLevel="0" collapsed="false">
      <c r="A71" s="7" t="n">
        <v>46225</v>
      </c>
      <c r="B71" s="8" t="n">
        <v>3694</v>
      </c>
      <c r="C71" s="8" t="n">
        <v>1</v>
      </c>
      <c r="D71" s="8" t="n">
        <v>22.3</v>
      </c>
      <c r="E71" s="8" t="n">
        <v>20.07</v>
      </c>
      <c r="F71" s="8" t="n">
        <v>90</v>
      </c>
      <c r="G71" s="8" t="n">
        <v>0</v>
      </c>
      <c r="H71" s="8" t="n">
        <v>0</v>
      </c>
    </row>
    <row r="72" customFormat="false" ht="15" hidden="false" customHeight="false" outlineLevel="0" collapsed="false">
      <c r="A72" s="7" t="n">
        <v>46225</v>
      </c>
      <c r="B72" s="8" t="n">
        <v>3710</v>
      </c>
      <c r="C72" s="8" t="n">
        <v>1</v>
      </c>
      <c r="D72" s="8" t="n">
        <v>11.97</v>
      </c>
      <c r="E72" s="8" t="n">
        <v>10.77</v>
      </c>
      <c r="F72" s="8" t="n">
        <v>89.97</v>
      </c>
      <c r="G72" s="8" t="n">
        <v>0</v>
      </c>
      <c r="H72" s="8" t="n">
        <v>0</v>
      </c>
    </row>
    <row r="73" customFormat="false" ht="15" hidden="false" customHeight="false" outlineLevel="0" collapsed="false">
      <c r="A73" s="7" t="n">
        <v>46225</v>
      </c>
      <c r="B73" s="8" t="n">
        <v>3711</v>
      </c>
      <c r="C73" s="8" t="n">
        <v>1</v>
      </c>
      <c r="D73" s="8" t="n">
        <v>23.14</v>
      </c>
      <c r="E73" s="8" t="n">
        <v>20.83</v>
      </c>
      <c r="F73" s="8" t="n">
        <v>90.02</v>
      </c>
      <c r="G73" s="8" t="n">
        <v>0</v>
      </c>
      <c r="H73" s="8" t="n">
        <v>0</v>
      </c>
    </row>
    <row r="74" customFormat="false" ht="15" hidden="false" customHeight="false" outlineLevel="0" collapsed="false">
      <c r="A74" s="7" t="n">
        <v>46225</v>
      </c>
      <c r="B74" s="8" t="n">
        <v>3703</v>
      </c>
      <c r="C74" s="8" t="n">
        <v>1</v>
      </c>
      <c r="D74" s="8" t="n">
        <v>13.7</v>
      </c>
      <c r="E74" s="8" t="n">
        <v>12.33</v>
      </c>
      <c r="F74" s="8" t="n">
        <v>90</v>
      </c>
      <c r="G74" s="8" t="n">
        <v>0</v>
      </c>
      <c r="H74" s="8" t="n">
        <v>0</v>
      </c>
    </row>
    <row r="75" customFormat="false" ht="15" hidden="false" customHeight="false" outlineLevel="0" collapsed="false">
      <c r="A75" s="7" t="n">
        <v>46225</v>
      </c>
      <c r="B75" s="8" t="n">
        <v>3708</v>
      </c>
      <c r="C75" s="8" t="n">
        <v>1</v>
      </c>
      <c r="D75" s="8" t="n">
        <v>17.15</v>
      </c>
      <c r="E75" s="8" t="n">
        <v>15.43</v>
      </c>
      <c r="F75" s="8" t="n">
        <v>89.97</v>
      </c>
      <c r="G75" s="8" t="n">
        <v>0</v>
      </c>
      <c r="H75" s="8" t="n">
        <v>0</v>
      </c>
    </row>
    <row r="76" customFormat="false" ht="15" hidden="false" customHeight="false" outlineLevel="0" collapsed="false">
      <c r="A76" s="7" t="n">
        <v>46225</v>
      </c>
      <c r="B76" s="8" t="n">
        <v>3721</v>
      </c>
      <c r="C76" s="8" t="n">
        <v>2</v>
      </c>
      <c r="D76" s="8" t="n">
        <v>10</v>
      </c>
      <c r="E76" s="8" t="n">
        <v>9</v>
      </c>
      <c r="F76" s="8" t="n">
        <v>90</v>
      </c>
      <c r="G76" s="8" t="n">
        <v>0</v>
      </c>
      <c r="H76" s="8" t="n">
        <v>0</v>
      </c>
    </row>
    <row r="77" customFormat="false" ht="15" hidden="false" customHeight="false" outlineLevel="0" collapsed="false">
      <c r="A77" s="7" t="n">
        <v>46225</v>
      </c>
      <c r="B77" s="8" t="n">
        <v>3721</v>
      </c>
      <c r="C77" s="8" t="n">
        <v>3</v>
      </c>
      <c r="D77" s="8" t="n">
        <v>25</v>
      </c>
      <c r="E77" s="8" t="n">
        <v>22.5</v>
      </c>
      <c r="F77" s="8" t="n">
        <v>90</v>
      </c>
      <c r="G77" s="8" t="n">
        <v>0</v>
      </c>
      <c r="H77" s="8" t="n">
        <v>0</v>
      </c>
    </row>
    <row r="78" customFormat="false" ht="15" hidden="false" customHeight="false" outlineLevel="0" collapsed="false">
      <c r="A78" s="7" t="n">
        <v>46225</v>
      </c>
      <c r="B78" s="8" t="n">
        <v>3716</v>
      </c>
      <c r="C78" s="8" t="n">
        <v>1</v>
      </c>
      <c r="D78" s="8" t="n">
        <v>15</v>
      </c>
      <c r="E78" s="8" t="n">
        <v>13.5</v>
      </c>
      <c r="F78" s="8" t="n">
        <v>90</v>
      </c>
      <c r="G78" s="8" t="n">
        <v>0</v>
      </c>
      <c r="H78" s="8" t="n">
        <v>0</v>
      </c>
    </row>
    <row r="79" customFormat="false" ht="15" hidden="false" customHeight="false" outlineLevel="0" collapsed="false">
      <c r="A79" s="7" t="n">
        <v>46225</v>
      </c>
      <c r="B79" s="8" t="n">
        <v>3720</v>
      </c>
      <c r="C79" s="8" t="n">
        <v>1</v>
      </c>
      <c r="D79" s="8" t="n">
        <v>17.7</v>
      </c>
      <c r="E79" s="8" t="n">
        <v>15.93</v>
      </c>
      <c r="F79" s="8" t="n">
        <v>90</v>
      </c>
      <c r="G79" s="8" t="n">
        <v>0</v>
      </c>
      <c r="H79" s="8" t="n">
        <v>0</v>
      </c>
    </row>
    <row r="80" customFormat="false" ht="15" hidden="false" customHeight="false" outlineLevel="0" collapsed="false">
      <c r="A80" s="7" t="n">
        <v>46225</v>
      </c>
      <c r="B80" s="8" t="n">
        <v>3721</v>
      </c>
      <c r="C80" s="8" t="n">
        <v>4</v>
      </c>
      <c r="D80" s="8" t="n">
        <v>10</v>
      </c>
      <c r="E80" s="8" t="n">
        <v>9</v>
      </c>
      <c r="F80" s="8" t="n">
        <v>90</v>
      </c>
      <c r="G80" s="8" t="n">
        <v>0</v>
      </c>
      <c r="H80" s="8" t="n">
        <v>0</v>
      </c>
    </row>
    <row r="81" customFormat="false" ht="15" hidden="false" customHeight="false" outlineLevel="0" collapsed="false">
      <c r="A81" s="7" t="n">
        <v>46228</v>
      </c>
      <c r="B81" s="8" t="n">
        <v>3725</v>
      </c>
      <c r="C81" s="8" t="n">
        <v>1</v>
      </c>
      <c r="D81" s="8" t="n">
        <v>10</v>
      </c>
      <c r="E81" s="8" t="n">
        <v>9</v>
      </c>
      <c r="F81" s="8" t="n">
        <v>90</v>
      </c>
      <c r="G81" s="8" t="n">
        <v>0</v>
      </c>
      <c r="H81" s="8" t="n">
        <v>0</v>
      </c>
    </row>
    <row r="82" customFormat="false" ht="15" hidden="false" customHeight="false" outlineLevel="0" collapsed="false">
      <c r="A82" s="7" t="n">
        <v>46228</v>
      </c>
      <c r="B82" s="8" t="n">
        <v>3725</v>
      </c>
      <c r="C82" s="8" t="n">
        <v>1</v>
      </c>
      <c r="D82" s="8" t="n">
        <v>10</v>
      </c>
      <c r="E82" s="8" t="n">
        <v>9</v>
      </c>
      <c r="F82" s="8" t="n">
        <v>90</v>
      </c>
      <c r="G82" s="8" t="n">
        <v>0</v>
      </c>
      <c r="H82" s="8" t="n">
        <v>0</v>
      </c>
    </row>
    <row r="83" customFormat="false" ht="15" hidden="false" customHeight="false" outlineLevel="0" collapsed="false">
      <c r="A83" s="7" t="n">
        <v>46228</v>
      </c>
      <c r="B83" s="8" t="n">
        <v>3725</v>
      </c>
      <c r="C83" s="8" t="n">
        <v>1</v>
      </c>
      <c r="D83" s="8" t="n">
        <v>10</v>
      </c>
      <c r="E83" s="8" t="n">
        <v>9</v>
      </c>
      <c r="F83" s="8" t="n">
        <v>90</v>
      </c>
      <c r="G83" s="8" t="n">
        <v>0</v>
      </c>
      <c r="H83" s="8" t="n">
        <v>0</v>
      </c>
    </row>
    <row r="84" customFormat="false" ht="15" hidden="false" customHeight="false" outlineLevel="0" collapsed="false">
      <c r="A84" s="7" t="n">
        <v>46230</v>
      </c>
      <c r="B84" s="8" t="n">
        <v>3746</v>
      </c>
      <c r="C84" s="8" t="n">
        <v>1</v>
      </c>
      <c r="D84" s="8" t="n">
        <v>20</v>
      </c>
      <c r="E84" s="8" t="n">
        <v>18</v>
      </c>
      <c r="F84" s="8" t="n">
        <v>90</v>
      </c>
      <c r="G84" s="8" t="n">
        <v>0</v>
      </c>
      <c r="H84" s="8" t="n">
        <v>0</v>
      </c>
    </row>
    <row r="85" customFormat="false" ht="15" hidden="false" customHeight="false" outlineLevel="0" collapsed="false">
      <c r="A85" s="7" t="n">
        <v>46230</v>
      </c>
      <c r="B85" s="8" t="n">
        <v>3747</v>
      </c>
      <c r="C85" s="8" t="n">
        <v>2</v>
      </c>
      <c r="D85" s="8" t="n">
        <v>28.7</v>
      </c>
      <c r="E85" s="8" t="n">
        <v>25.83</v>
      </c>
      <c r="F85" s="8" t="n">
        <v>90</v>
      </c>
      <c r="G85" s="8" t="n">
        <v>0</v>
      </c>
      <c r="H85" s="8" t="n">
        <v>0</v>
      </c>
    </row>
    <row r="86" customFormat="false" ht="15" hidden="false" customHeight="false" outlineLevel="0" collapsed="false">
      <c r="A86" s="7" t="n">
        <v>46230</v>
      </c>
      <c r="B86" s="8" t="n">
        <v>3748</v>
      </c>
      <c r="C86" s="8" t="n">
        <v>3</v>
      </c>
      <c r="D86" s="8" t="n">
        <v>25</v>
      </c>
      <c r="E86" s="8" t="n">
        <v>22.5</v>
      </c>
      <c r="F86" s="8" t="n">
        <v>90</v>
      </c>
      <c r="G86" s="8" t="n">
        <v>0</v>
      </c>
      <c r="H86" s="8" t="n">
        <v>0</v>
      </c>
    </row>
    <row r="87" customFormat="false" ht="15" hidden="false" customHeight="false" outlineLevel="0" collapsed="false">
      <c r="A87" s="7" t="n">
        <v>46230</v>
      </c>
      <c r="B87" s="8" t="n">
        <v>3749</v>
      </c>
      <c r="C87" s="8" t="n">
        <v>4</v>
      </c>
      <c r="D87" s="8" t="n">
        <v>16</v>
      </c>
      <c r="E87" s="8" t="n">
        <v>14.4</v>
      </c>
      <c r="F87" s="8" t="n">
        <v>90</v>
      </c>
      <c r="G87" s="8" t="n">
        <v>0</v>
      </c>
      <c r="H87" s="8" t="n">
        <v>0</v>
      </c>
    </row>
    <row r="88" customFormat="false" ht="15" hidden="false" customHeight="false" outlineLevel="0" collapsed="false">
      <c r="A88" s="7" t="n">
        <v>46230</v>
      </c>
      <c r="B88" s="8" t="n">
        <v>3707</v>
      </c>
      <c r="C88" s="8" t="n">
        <v>1</v>
      </c>
      <c r="D88" s="8" t="n">
        <v>16</v>
      </c>
      <c r="E88" s="8" t="n">
        <v>14.4</v>
      </c>
      <c r="F88" s="8" t="n">
        <v>90</v>
      </c>
      <c r="G88" s="8" t="n">
        <v>0</v>
      </c>
      <c r="H88" s="8" t="n">
        <v>0</v>
      </c>
    </row>
    <row r="89" customFormat="false" ht="15" hidden="false" customHeight="false" outlineLevel="0" collapsed="false">
      <c r="A89" s="7" t="n">
        <v>46230</v>
      </c>
      <c r="B89" s="8" t="n">
        <v>3704</v>
      </c>
      <c r="C89" s="8" t="n">
        <v>1</v>
      </c>
      <c r="D89" s="8" t="n">
        <v>28.8</v>
      </c>
      <c r="E89" s="8" t="n">
        <v>25.92</v>
      </c>
      <c r="F89" s="8" t="n">
        <v>90</v>
      </c>
      <c r="G89" s="8" t="n">
        <v>0</v>
      </c>
      <c r="H89" s="8" t="n">
        <v>0</v>
      </c>
    </row>
    <row r="90" customFormat="false" ht="15" hidden="false" customHeight="false" outlineLevel="0" collapsed="false">
      <c r="A90" s="7" t="n">
        <v>46230</v>
      </c>
      <c r="B90" s="8" t="n">
        <v>3709</v>
      </c>
      <c r="C90" s="8" t="n">
        <v>1</v>
      </c>
      <c r="D90" s="8" t="n">
        <v>20.7</v>
      </c>
      <c r="E90" s="8" t="n">
        <v>18.63</v>
      </c>
      <c r="F90" s="8" t="n">
        <v>90</v>
      </c>
      <c r="G90" s="8" t="n">
        <v>0</v>
      </c>
      <c r="H90" s="8" t="n">
        <v>0</v>
      </c>
    </row>
    <row r="91" customFormat="false" ht="15" hidden="false" customHeight="false" outlineLevel="0" collapsed="false">
      <c r="A91" s="7" t="n">
        <v>46230</v>
      </c>
      <c r="B91" s="8" t="n">
        <v>3749</v>
      </c>
      <c r="C91" s="8" t="n">
        <v>1</v>
      </c>
      <c r="D91" s="8" t="n">
        <v>24</v>
      </c>
      <c r="E91" s="8" t="n">
        <v>21.6</v>
      </c>
      <c r="F91" s="8" t="n">
        <v>90</v>
      </c>
      <c r="G91" s="8" t="n">
        <v>0</v>
      </c>
      <c r="H91" s="8" t="n">
        <v>0</v>
      </c>
    </row>
    <row r="92" customFormat="false" ht="15" hidden="false" customHeight="false" outlineLevel="0" collapsed="false">
      <c r="A92" s="7" t="n">
        <v>46230</v>
      </c>
      <c r="B92" s="8" t="n">
        <v>3736</v>
      </c>
      <c r="C92" s="8" t="n">
        <v>1</v>
      </c>
      <c r="D92" s="8" t="n">
        <v>25</v>
      </c>
      <c r="E92" s="8" t="n">
        <v>22.5</v>
      </c>
      <c r="F92" s="8" t="n">
        <v>90</v>
      </c>
      <c r="G92" s="8" t="n">
        <v>0</v>
      </c>
      <c r="H92" s="8" t="n">
        <v>0</v>
      </c>
    </row>
    <row r="93" customFormat="false" ht="15" hidden="false" customHeight="false" outlineLevel="0" collapsed="false">
      <c r="A93" s="7" t="n">
        <v>46230</v>
      </c>
      <c r="B93" s="8" t="n">
        <v>3735</v>
      </c>
      <c r="C93" s="8" t="n">
        <v>1</v>
      </c>
      <c r="D93" s="8" t="n">
        <v>14.2</v>
      </c>
      <c r="E93" s="8" t="n">
        <v>12.78</v>
      </c>
      <c r="F93" s="8" t="n">
        <v>90</v>
      </c>
      <c r="G93" s="8" t="n">
        <v>0</v>
      </c>
      <c r="H93" s="8" t="n">
        <v>0</v>
      </c>
    </row>
    <row r="94" customFormat="false" ht="15" hidden="false" customHeight="false" outlineLevel="0" collapsed="false">
      <c r="A94" s="7" t="n">
        <v>46230</v>
      </c>
      <c r="B94" s="8" t="n">
        <v>3738</v>
      </c>
      <c r="C94" s="8" t="n">
        <v>1</v>
      </c>
      <c r="D94" s="8" t="n">
        <v>28.13</v>
      </c>
      <c r="E94" s="8" t="n">
        <v>25.32</v>
      </c>
      <c r="F94" s="8" t="n">
        <v>90.01</v>
      </c>
      <c r="G94" s="8" t="n">
        <v>0</v>
      </c>
      <c r="H94" s="8" t="n">
        <v>0</v>
      </c>
    </row>
    <row r="95" customFormat="false" ht="15" hidden="false" customHeight="false" outlineLevel="0" collapsed="false">
      <c r="A95" s="7" t="n">
        <v>46230</v>
      </c>
      <c r="B95" s="8" t="n">
        <v>3739</v>
      </c>
      <c r="C95" s="8" t="n">
        <v>2</v>
      </c>
      <c r="D95" s="8" t="n">
        <v>28.13</v>
      </c>
      <c r="E95" s="8" t="n">
        <v>25.32</v>
      </c>
      <c r="F95" s="8" t="n">
        <v>90.01</v>
      </c>
      <c r="G95" s="8" t="n">
        <v>0</v>
      </c>
      <c r="H95" s="8" t="n">
        <v>0</v>
      </c>
    </row>
    <row r="96" customFormat="false" ht="15" hidden="false" customHeight="false" outlineLevel="0" collapsed="false">
      <c r="A96" s="7" t="n">
        <v>46230</v>
      </c>
      <c r="B96" s="8" t="n">
        <v>3740</v>
      </c>
      <c r="C96" s="8" t="n">
        <v>3</v>
      </c>
      <c r="D96" s="8" t="n">
        <v>28.13</v>
      </c>
      <c r="E96" s="8" t="n">
        <v>25.32</v>
      </c>
      <c r="F96" s="8" t="n">
        <v>90.01</v>
      </c>
      <c r="G96" s="8" t="n">
        <v>0</v>
      </c>
      <c r="H96" s="8" t="n">
        <v>0</v>
      </c>
    </row>
    <row r="97" customFormat="false" ht="15" hidden="false" customHeight="false" outlineLevel="0" collapsed="false">
      <c r="A97" s="7" t="n">
        <v>46230</v>
      </c>
      <c r="B97" s="8" t="n">
        <v>3741</v>
      </c>
      <c r="C97" s="8" t="n">
        <v>4</v>
      </c>
      <c r="D97" s="8" t="n">
        <v>14</v>
      </c>
      <c r="E97" s="8" t="n">
        <v>12.6</v>
      </c>
      <c r="F97" s="8" t="n">
        <v>90</v>
      </c>
      <c r="G97" s="8" t="n">
        <v>0</v>
      </c>
      <c r="H97" s="8" t="n">
        <v>0</v>
      </c>
    </row>
    <row r="98" customFormat="false" ht="15" hidden="false" customHeight="false" outlineLevel="0" collapsed="false">
      <c r="A98" s="7" t="n">
        <v>46230</v>
      </c>
      <c r="B98" s="8" t="n">
        <v>3742</v>
      </c>
      <c r="C98" s="8" t="n">
        <v>5</v>
      </c>
      <c r="D98" s="8" t="n">
        <v>20</v>
      </c>
      <c r="E98" s="8" t="n">
        <v>18</v>
      </c>
      <c r="F98" s="8" t="n">
        <v>90</v>
      </c>
      <c r="G98" s="8" t="n">
        <v>0</v>
      </c>
      <c r="H98" s="8" t="n">
        <v>0</v>
      </c>
    </row>
    <row r="99" customFormat="false" ht="15" hidden="false" customHeight="false" outlineLevel="0" collapsed="false">
      <c r="A99" s="7" t="n">
        <v>46230</v>
      </c>
      <c r="B99" s="8" t="n">
        <v>3743</v>
      </c>
      <c r="C99" s="8" t="n">
        <v>6</v>
      </c>
      <c r="D99" s="8" t="n">
        <v>20</v>
      </c>
      <c r="E99" s="8" t="n">
        <v>18</v>
      </c>
      <c r="F99" s="8" t="n">
        <v>90</v>
      </c>
      <c r="G99" s="8" t="n">
        <v>0</v>
      </c>
      <c r="H99" s="8" t="n">
        <v>0</v>
      </c>
    </row>
    <row r="100" customFormat="false" ht="15" hidden="false" customHeight="false" outlineLevel="0" collapsed="false">
      <c r="A100" s="7" t="n">
        <v>46230</v>
      </c>
      <c r="B100" s="8" t="n">
        <v>3718</v>
      </c>
      <c r="C100" s="8" t="n">
        <v>1</v>
      </c>
      <c r="D100" s="8" t="n">
        <v>17.8</v>
      </c>
      <c r="E100" s="8" t="n">
        <v>16.02</v>
      </c>
      <c r="F100" s="8" t="n">
        <v>90</v>
      </c>
      <c r="G100" s="8" t="n">
        <v>0</v>
      </c>
      <c r="H100" s="8" t="n">
        <v>0</v>
      </c>
    </row>
    <row r="101" customFormat="false" ht="15" hidden="false" customHeight="false" outlineLevel="0" collapsed="false">
      <c r="A101" s="7" t="n">
        <v>46230</v>
      </c>
      <c r="B101" s="8" t="n">
        <v>3719</v>
      </c>
      <c r="C101" s="8" t="n">
        <v>2</v>
      </c>
      <c r="D101" s="8" t="n">
        <v>25</v>
      </c>
      <c r="E101" s="8" t="n">
        <v>22.5</v>
      </c>
      <c r="F101" s="8" t="n">
        <v>90</v>
      </c>
      <c r="G101" s="8" t="n">
        <v>0</v>
      </c>
      <c r="H101" s="8" t="n">
        <v>0</v>
      </c>
    </row>
    <row r="102" customFormat="false" ht="15" hidden="false" customHeight="false" outlineLevel="0" collapsed="false">
      <c r="A102" s="7" t="n">
        <v>46231</v>
      </c>
      <c r="B102" s="8" t="n">
        <v>3720</v>
      </c>
      <c r="C102" s="8" t="n">
        <v>3</v>
      </c>
      <c r="D102" s="8" t="n">
        <v>25</v>
      </c>
      <c r="E102" s="8" t="n">
        <v>22.5</v>
      </c>
      <c r="F102" s="8" t="n">
        <v>90</v>
      </c>
      <c r="G102" s="8" t="n">
        <v>0</v>
      </c>
      <c r="H102" s="8" t="n">
        <v>0</v>
      </c>
    </row>
    <row r="103" customFormat="false" ht="15" hidden="false" customHeight="false" outlineLevel="0" collapsed="false">
      <c r="A103" s="7" t="n">
        <v>46231</v>
      </c>
      <c r="B103" s="8" t="n">
        <v>3732</v>
      </c>
      <c r="C103" s="8" t="n">
        <v>1</v>
      </c>
      <c r="D103" s="8" t="n">
        <v>16</v>
      </c>
      <c r="E103" s="8" t="n">
        <v>14.4</v>
      </c>
      <c r="F103" s="8" t="n">
        <v>90</v>
      </c>
      <c r="G103" s="8" t="n">
        <v>0</v>
      </c>
      <c r="H103" s="8" t="n">
        <v>0</v>
      </c>
    </row>
    <row r="104" customFormat="false" ht="15" hidden="false" customHeight="false" outlineLevel="0" collapsed="false">
      <c r="A104" s="7" t="n">
        <v>46231</v>
      </c>
      <c r="B104" s="8" t="n">
        <v>3733</v>
      </c>
      <c r="C104" s="8" t="n">
        <v>2</v>
      </c>
      <c r="D104" s="8" t="n">
        <v>30.5</v>
      </c>
      <c r="E104" s="8" t="n">
        <v>27.45</v>
      </c>
      <c r="F104" s="8" t="n">
        <v>90</v>
      </c>
      <c r="G104" s="8" t="n">
        <v>0</v>
      </c>
      <c r="H104" s="8" t="n">
        <v>0</v>
      </c>
    </row>
    <row r="105" customFormat="false" ht="15" hidden="false" customHeight="false" outlineLevel="0" collapsed="false">
      <c r="A105" s="7" t="n">
        <v>46231</v>
      </c>
      <c r="B105" s="8" t="n">
        <v>3734</v>
      </c>
      <c r="C105" s="8" t="n">
        <v>3</v>
      </c>
      <c r="D105" s="8" t="n">
        <v>29.5</v>
      </c>
      <c r="E105" s="8" t="n">
        <v>26.55</v>
      </c>
      <c r="F105" s="8" t="n">
        <v>90</v>
      </c>
      <c r="G105" s="8" t="n">
        <v>0</v>
      </c>
      <c r="H105" s="8" t="n">
        <v>0</v>
      </c>
    </row>
    <row r="106" customFormat="false" ht="15" hidden="false" customHeight="false" outlineLevel="0" collapsed="false">
      <c r="A106" s="7" t="n">
        <v>46231</v>
      </c>
      <c r="B106" s="8" t="n">
        <v>3752</v>
      </c>
      <c r="C106" s="8" t="n">
        <v>1</v>
      </c>
      <c r="D106" s="8" t="n">
        <v>16.54</v>
      </c>
      <c r="E106" s="8" t="n">
        <v>14.89</v>
      </c>
      <c r="F106" s="8" t="n">
        <v>90.02</v>
      </c>
      <c r="G106" s="8" t="n">
        <v>0</v>
      </c>
      <c r="H106" s="8" t="n">
        <v>0</v>
      </c>
    </row>
    <row r="107" customFormat="false" ht="15" hidden="false" customHeight="false" outlineLevel="0" collapsed="false">
      <c r="A107" s="7" t="n">
        <v>46231</v>
      </c>
      <c r="B107" s="8" t="n">
        <v>3753</v>
      </c>
      <c r="C107" s="8" t="n">
        <v>2</v>
      </c>
      <c r="D107" s="8" t="n">
        <v>16.54</v>
      </c>
      <c r="E107" s="8" t="n">
        <v>14.89</v>
      </c>
      <c r="F107" s="8" t="n">
        <v>90.02</v>
      </c>
      <c r="G107" s="8" t="n">
        <v>0</v>
      </c>
      <c r="H107" s="8" t="n">
        <v>0</v>
      </c>
    </row>
    <row r="108" customFormat="false" ht="15" hidden="false" customHeight="false" outlineLevel="0" collapsed="false">
      <c r="A108" s="7" t="n">
        <v>46231</v>
      </c>
      <c r="B108" s="8" t="n">
        <v>3754</v>
      </c>
      <c r="C108" s="8" t="n">
        <v>3</v>
      </c>
      <c r="D108" s="8" t="n">
        <v>25</v>
      </c>
      <c r="E108" s="8" t="n">
        <v>22.5</v>
      </c>
      <c r="F108" s="8" t="n">
        <v>90</v>
      </c>
      <c r="G108" s="8" t="n">
        <v>0</v>
      </c>
      <c r="H108" s="8" t="n">
        <v>0</v>
      </c>
    </row>
    <row r="109" customFormat="false" ht="15" hidden="false" customHeight="false" outlineLevel="0" collapsed="false">
      <c r="A109" s="7" t="n">
        <v>46231</v>
      </c>
      <c r="B109" s="8" t="n">
        <v>3757</v>
      </c>
      <c r="C109" s="8" t="n">
        <v>1</v>
      </c>
      <c r="D109" s="8" t="n">
        <v>15</v>
      </c>
      <c r="E109" s="8" t="n">
        <v>13.5</v>
      </c>
      <c r="F109" s="8" t="n">
        <v>90</v>
      </c>
      <c r="G109" s="8" t="n">
        <v>0</v>
      </c>
      <c r="H109" s="8" t="n">
        <v>0</v>
      </c>
    </row>
    <row r="110" customFormat="false" ht="15" hidden="false" customHeight="false" outlineLevel="0" collapsed="false">
      <c r="A110" s="7" t="n">
        <v>46231</v>
      </c>
      <c r="B110" s="8" t="n">
        <v>3722</v>
      </c>
      <c r="C110" s="8" t="n">
        <v>1</v>
      </c>
      <c r="D110" s="8" t="n">
        <v>25.4</v>
      </c>
      <c r="E110" s="8" t="n">
        <v>22.86</v>
      </c>
      <c r="F110" s="8" t="n">
        <v>90</v>
      </c>
      <c r="G110" s="8" t="n">
        <v>0</v>
      </c>
      <c r="H110" s="8" t="n">
        <v>0</v>
      </c>
    </row>
    <row r="111" customFormat="false" ht="15" hidden="false" customHeight="false" outlineLevel="0" collapsed="false">
      <c r="A111" s="7" t="n">
        <v>46231</v>
      </c>
      <c r="B111" s="8" t="n">
        <v>3723</v>
      </c>
      <c r="C111" s="8" t="n">
        <v>2</v>
      </c>
      <c r="D111" s="8" t="n">
        <v>25.4</v>
      </c>
      <c r="E111" s="8" t="n">
        <v>22.86</v>
      </c>
      <c r="F111" s="8" t="n">
        <v>90</v>
      </c>
      <c r="G111" s="8" t="n">
        <v>0</v>
      </c>
      <c r="H111" s="8" t="n">
        <v>0</v>
      </c>
    </row>
    <row r="112" customFormat="false" ht="15" hidden="false" customHeight="false" outlineLevel="0" collapsed="false">
      <c r="A112" s="7" t="n">
        <v>46231</v>
      </c>
      <c r="B112" s="8" t="n">
        <v>3757</v>
      </c>
      <c r="C112" s="8" t="n">
        <v>2</v>
      </c>
      <c r="D112" s="8" t="n">
        <v>25</v>
      </c>
      <c r="E112" s="8" t="n">
        <v>22.5</v>
      </c>
      <c r="F112" s="8" t="n">
        <v>90</v>
      </c>
      <c r="G112" s="8" t="n">
        <v>0</v>
      </c>
      <c r="H112" s="8" t="n">
        <v>0</v>
      </c>
    </row>
    <row r="113" customFormat="false" ht="15" hidden="false" customHeight="false" outlineLevel="0" collapsed="false">
      <c r="A113" s="7" t="n">
        <v>46231</v>
      </c>
      <c r="B113" s="8" t="n">
        <v>3758</v>
      </c>
      <c r="C113" s="8" t="n">
        <v>3</v>
      </c>
      <c r="D113" s="8" t="n">
        <v>21.55</v>
      </c>
      <c r="E113" s="8" t="n">
        <v>19.39</v>
      </c>
      <c r="F113" s="8" t="n">
        <v>89.98</v>
      </c>
      <c r="G113" s="8" t="n">
        <v>0</v>
      </c>
      <c r="H113" s="8" t="n">
        <v>0</v>
      </c>
    </row>
    <row r="114" customFormat="false" ht="15" hidden="false" customHeight="false" outlineLevel="0" collapsed="false">
      <c r="A114" s="7" t="n">
        <v>46231</v>
      </c>
      <c r="B114" s="8" t="n">
        <v>3759</v>
      </c>
      <c r="C114" s="8" t="n">
        <v>4</v>
      </c>
      <c r="D114" s="8" t="n">
        <v>15.8</v>
      </c>
      <c r="E114" s="8" t="n">
        <v>14.22</v>
      </c>
      <c r="F114" s="8" t="n">
        <v>90</v>
      </c>
      <c r="G114" s="8" t="n">
        <v>0</v>
      </c>
      <c r="H114" s="8" t="n">
        <v>0</v>
      </c>
    </row>
    <row r="115" customFormat="false" ht="15" hidden="false" customHeight="false" outlineLevel="0" collapsed="false">
      <c r="A115" s="7" t="n">
        <v>46231</v>
      </c>
      <c r="B115" s="8" t="n">
        <v>3704</v>
      </c>
      <c r="C115" s="8" t="n">
        <v>2</v>
      </c>
      <c r="D115" s="8" t="n">
        <v>25</v>
      </c>
      <c r="E115" s="8" t="n">
        <v>22.5</v>
      </c>
      <c r="F115" s="8" t="n">
        <v>90</v>
      </c>
      <c r="G115" s="8" t="n">
        <v>0</v>
      </c>
      <c r="H115" s="8" t="n">
        <v>0</v>
      </c>
    </row>
    <row r="116" customFormat="false" ht="15" hidden="false" customHeight="false" outlineLevel="0" collapsed="false">
      <c r="A116" s="7" t="n">
        <v>46231</v>
      </c>
      <c r="B116" s="8" t="n">
        <v>3705</v>
      </c>
      <c r="C116" s="8" t="n">
        <v>3</v>
      </c>
      <c r="D116" s="8" t="n">
        <v>25</v>
      </c>
      <c r="E116" s="8" t="n">
        <v>22.5</v>
      </c>
      <c r="F116" s="8" t="n">
        <v>90</v>
      </c>
      <c r="G116" s="8" t="n">
        <v>0</v>
      </c>
      <c r="H116" s="8" t="n">
        <v>0</v>
      </c>
    </row>
    <row r="117" customFormat="false" ht="15" hidden="false" customHeight="false" outlineLevel="0" collapsed="false">
      <c r="A117" s="7" t="n">
        <v>46231</v>
      </c>
      <c r="B117" s="8" t="n">
        <v>3760</v>
      </c>
      <c r="C117" s="8" t="n">
        <v>1</v>
      </c>
      <c r="D117" s="8" t="n">
        <v>20</v>
      </c>
      <c r="E117" s="8" t="n">
        <v>18</v>
      </c>
      <c r="F117" s="8" t="n">
        <v>90</v>
      </c>
      <c r="G117" s="8" t="n">
        <v>0</v>
      </c>
      <c r="H117" s="8" t="n">
        <v>0</v>
      </c>
    </row>
    <row r="118" customFormat="false" ht="15" hidden="false" customHeight="false" outlineLevel="0" collapsed="false">
      <c r="A118" s="7" t="n">
        <v>46231</v>
      </c>
      <c r="B118" s="8" t="n">
        <v>3737</v>
      </c>
      <c r="C118" s="8" t="n">
        <v>1</v>
      </c>
      <c r="D118" s="8" t="n">
        <v>25</v>
      </c>
      <c r="E118" s="8" t="n">
        <v>22.5</v>
      </c>
      <c r="F118" s="8" t="n">
        <v>90</v>
      </c>
      <c r="G118" s="8" t="n">
        <v>0</v>
      </c>
      <c r="H118" s="8" t="n">
        <v>0</v>
      </c>
    </row>
    <row r="119" customFormat="false" ht="15" hidden="false" customHeight="false" outlineLevel="0" collapsed="false">
      <c r="A119" s="7" t="n">
        <v>46232</v>
      </c>
      <c r="B119" s="8" t="n">
        <v>3739</v>
      </c>
      <c r="C119" s="8" t="n">
        <v>1</v>
      </c>
      <c r="D119" s="8" t="n">
        <v>15</v>
      </c>
      <c r="E119" s="8" t="n">
        <v>13.5</v>
      </c>
      <c r="F119" s="8" t="n">
        <v>90</v>
      </c>
      <c r="G119" s="8" t="n">
        <v>0</v>
      </c>
      <c r="H119" s="8" t="n">
        <v>0</v>
      </c>
    </row>
    <row r="120" customFormat="false" ht="15" hidden="false" customHeight="false" outlineLevel="0" collapsed="false">
      <c r="A120" s="7" t="n">
        <v>46232</v>
      </c>
      <c r="B120" s="8" t="n">
        <v>3740</v>
      </c>
      <c r="C120" s="8" t="n">
        <v>2</v>
      </c>
      <c r="D120" s="8" t="n">
        <v>15</v>
      </c>
      <c r="E120" s="8" t="n">
        <v>13.5</v>
      </c>
      <c r="F120" s="8" t="n">
        <v>90</v>
      </c>
      <c r="G120" s="8" t="n">
        <v>0</v>
      </c>
      <c r="H120" s="8" t="n">
        <v>0</v>
      </c>
    </row>
    <row r="121" customFormat="false" ht="15" hidden="false" customHeight="false" outlineLevel="0" collapsed="false">
      <c r="A121" s="7" t="n">
        <v>46232</v>
      </c>
      <c r="B121" s="8" t="n">
        <v>3741</v>
      </c>
      <c r="C121" s="8" t="n">
        <v>3</v>
      </c>
      <c r="D121" s="8" t="n">
        <v>25</v>
      </c>
      <c r="E121" s="8" t="n">
        <v>22.5</v>
      </c>
      <c r="F121" s="8" t="n">
        <v>90</v>
      </c>
      <c r="G121" s="8" t="n">
        <v>0</v>
      </c>
      <c r="H121" s="8" t="n">
        <v>0</v>
      </c>
    </row>
    <row r="122" customFormat="false" ht="15" hidden="false" customHeight="false" outlineLevel="0" collapsed="false">
      <c r="A122" s="7" t="n">
        <v>46232</v>
      </c>
      <c r="B122" s="8" t="n">
        <v>3731</v>
      </c>
      <c r="C122" s="8" t="n">
        <v>1</v>
      </c>
      <c r="D122" s="8" t="n">
        <v>27.13</v>
      </c>
      <c r="E122" s="8" t="n">
        <v>24.42</v>
      </c>
      <c r="F122" s="8" t="n">
        <v>90.01</v>
      </c>
      <c r="G122" s="8" t="n">
        <v>0</v>
      </c>
      <c r="H122" s="8" t="n">
        <v>0</v>
      </c>
    </row>
    <row r="123" customFormat="false" ht="15" hidden="false" customHeight="false" outlineLevel="0" collapsed="false">
      <c r="A123" s="7" t="n">
        <v>46232</v>
      </c>
      <c r="B123" s="8" t="n">
        <v>3732</v>
      </c>
      <c r="C123" s="8" t="n">
        <v>2</v>
      </c>
      <c r="D123" s="8" t="n">
        <v>27.13</v>
      </c>
      <c r="E123" s="8" t="n">
        <v>24.42</v>
      </c>
      <c r="F123" s="8" t="n">
        <v>90.01</v>
      </c>
      <c r="G123" s="8" t="n">
        <v>0</v>
      </c>
      <c r="H123" s="8" t="n">
        <v>0</v>
      </c>
    </row>
    <row r="124" customFormat="false" ht="15" hidden="false" customHeight="false" outlineLevel="0" collapsed="false">
      <c r="A124" s="7" t="n">
        <v>46232</v>
      </c>
      <c r="B124" s="8" t="n">
        <v>3752</v>
      </c>
      <c r="C124" s="8" t="n">
        <v>1</v>
      </c>
      <c r="D124" s="8" t="n">
        <v>12.7</v>
      </c>
      <c r="E124" s="8" t="n">
        <v>11.43</v>
      </c>
      <c r="F124" s="8" t="n">
        <v>90</v>
      </c>
      <c r="G124" s="8" t="n">
        <v>0</v>
      </c>
      <c r="H124" s="8" t="n">
        <v>0</v>
      </c>
    </row>
    <row r="125" customFormat="false" ht="15" hidden="false" customHeight="false" outlineLevel="0" collapsed="false">
      <c r="A125" s="7" t="n">
        <v>46232</v>
      </c>
      <c r="B125" s="8" t="n">
        <v>3753</v>
      </c>
      <c r="C125" s="8" t="n">
        <v>2</v>
      </c>
      <c r="D125" s="8" t="n">
        <v>12.5</v>
      </c>
      <c r="E125" s="8" t="n">
        <v>11.25</v>
      </c>
      <c r="F125" s="8" t="n">
        <v>90</v>
      </c>
      <c r="G125" s="8" t="n">
        <v>0</v>
      </c>
      <c r="H125" s="8" t="n">
        <v>0</v>
      </c>
    </row>
    <row r="126" customFormat="false" ht="15" hidden="false" customHeight="false" outlineLevel="0" collapsed="false">
      <c r="A126" s="7" t="n">
        <v>46232</v>
      </c>
      <c r="B126" s="8" t="n">
        <v>3724</v>
      </c>
      <c r="C126" s="8" t="n">
        <v>1</v>
      </c>
      <c r="D126" s="8" t="n">
        <v>12</v>
      </c>
      <c r="E126" s="8" t="n">
        <v>10.8</v>
      </c>
      <c r="F126" s="8" t="n">
        <v>90</v>
      </c>
      <c r="G126" s="8" t="n">
        <v>0</v>
      </c>
      <c r="H126" s="8" t="n">
        <v>0</v>
      </c>
    </row>
    <row r="127" customFormat="false" ht="15" hidden="false" customHeight="false" outlineLevel="0" collapsed="false">
      <c r="A127" s="7" t="n">
        <v>46232</v>
      </c>
      <c r="B127" s="8" t="n">
        <v>3729</v>
      </c>
      <c r="C127" s="8" t="n">
        <v>1</v>
      </c>
      <c r="D127" s="8" t="n">
        <v>7</v>
      </c>
      <c r="E127" s="8" t="n">
        <v>6.3</v>
      </c>
      <c r="F127" s="8" t="n">
        <v>90</v>
      </c>
      <c r="G127" s="8" t="n">
        <v>0</v>
      </c>
      <c r="H127" s="8" t="n">
        <v>0</v>
      </c>
    </row>
    <row r="128" customFormat="false" ht="15" hidden="false" customHeight="false" outlineLevel="0" collapsed="false">
      <c r="A128" s="7" t="n">
        <v>46232</v>
      </c>
      <c r="B128" s="8" t="n">
        <v>3740</v>
      </c>
      <c r="C128" s="8" t="n">
        <v>1</v>
      </c>
      <c r="D128" s="8" t="n">
        <v>22.36</v>
      </c>
      <c r="E128" s="8" t="n">
        <v>20.12</v>
      </c>
      <c r="F128" s="8" t="n">
        <v>89.98</v>
      </c>
      <c r="G128" s="8" t="n">
        <v>0</v>
      </c>
      <c r="H128" s="8" t="n">
        <v>0</v>
      </c>
    </row>
    <row r="129" customFormat="false" ht="15" hidden="false" customHeight="false" outlineLevel="0" collapsed="false">
      <c r="A129" s="7" t="n">
        <v>46232</v>
      </c>
      <c r="B129" s="8" t="n">
        <v>3741</v>
      </c>
      <c r="C129" s="8" t="n">
        <v>2</v>
      </c>
      <c r="D129" s="8" t="n">
        <v>22.36</v>
      </c>
      <c r="E129" s="8" t="n">
        <v>20.12</v>
      </c>
      <c r="F129" s="8" t="n">
        <v>89.98</v>
      </c>
      <c r="G129" s="8" t="n">
        <v>0</v>
      </c>
      <c r="H129" s="8" t="n">
        <v>0</v>
      </c>
    </row>
    <row r="130" customFormat="false" ht="15" hidden="false" customHeight="false" outlineLevel="0" collapsed="false">
      <c r="A130" s="7" t="n">
        <v>46232</v>
      </c>
      <c r="B130" s="8" t="n">
        <v>3742</v>
      </c>
      <c r="C130" s="8" t="n">
        <v>3</v>
      </c>
      <c r="D130" s="8" t="n">
        <v>22.36</v>
      </c>
      <c r="E130" s="8" t="n">
        <v>20.12</v>
      </c>
      <c r="F130" s="8" t="n">
        <v>89.98</v>
      </c>
      <c r="G130" s="8" t="n">
        <v>0</v>
      </c>
      <c r="H130" s="8" t="n">
        <v>0</v>
      </c>
    </row>
    <row r="131" customFormat="false" ht="15" hidden="false" customHeight="false" outlineLevel="0" collapsed="false">
      <c r="A131" s="7" t="n">
        <v>46232</v>
      </c>
      <c r="B131" s="8" t="n">
        <v>3743</v>
      </c>
      <c r="C131" s="8" t="n">
        <v>4</v>
      </c>
      <c r="D131" s="8" t="n">
        <v>12.5</v>
      </c>
      <c r="E131" s="8" t="n">
        <v>11.25</v>
      </c>
      <c r="F131" s="8" t="n">
        <v>90</v>
      </c>
      <c r="G131" s="8" t="n">
        <v>0</v>
      </c>
      <c r="H131" s="8" t="n">
        <v>0</v>
      </c>
    </row>
    <row r="132" customFormat="false" ht="15" hidden="false" customHeight="false" outlineLevel="0" collapsed="false">
      <c r="A132" s="7" t="n">
        <v>46232</v>
      </c>
      <c r="B132" s="8" t="n">
        <v>3744</v>
      </c>
      <c r="C132" s="8" t="n">
        <v>1</v>
      </c>
      <c r="D132" s="8" t="n">
        <v>12</v>
      </c>
      <c r="E132" s="8" t="n">
        <v>10.8</v>
      </c>
      <c r="F132" s="8" t="n">
        <v>90</v>
      </c>
      <c r="G132" s="8" t="n">
        <v>0</v>
      </c>
      <c r="H132" s="8" t="n">
        <v>0</v>
      </c>
    </row>
    <row r="133" customFormat="false" ht="15" hidden="false" customHeight="false" outlineLevel="0" collapsed="false">
      <c r="A133" s="7" t="n">
        <v>46232</v>
      </c>
      <c r="B133" s="8" t="n">
        <v>3742</v>
      </c>
      <c r="C133" s="8" t="n">
        <v>1</v>
      </c>
      <c r="D133" s="8" t="n">
        <v>13.77</v>
      </c>
      <c r="E133" s="8" t="n">
        <v>12.39</v>
      </c>
      <c r="F133" s="8" t="n">
        <v>89.98</v>
      </c>
      <c r="G133" s="8" t="n">
        <v>0</v>
      </c>
      <c r="H133" s="8" t="n">
        <v>0</v>
      </c>
    </row>
    <row r="134" customFormat="false" ht="15" hidden="false" customHeight="false" outlineLevel="0" collapsed="false">
      <c r="A134" s="7" t="n">
        <v>46232</v>
      </c>
      <c r="B134" s="8" t="n">
        <v>3750</v>
      </c>
      <c r="C134" s="8" t="n">
        <v>1</v>
      </c>
      <c r="D134" s="8" t="n">
        <v>16.85</v>
      </c>
      <c r="E134" s="8" t="n">
        <v>15.16</v>
      </c>
      <c r="F134" s="8" t="n">
        <v>89.97</v>
      </c>
      <c r="G134" s="8" t="n">
        <v>0</v>
      </c>
      <c r="H134" s="8" t="n">
        <v>0</v>
      </c>
    </row>
    <row r="135" customFormat="false" ht="15" hidden="false" customHeight="false" outlineLevel="0" collapsed="false">
      <c r="A135" s="7" t="n">
        <v>46232</v>
      </c>
      <c r="B135" s="8" t="n">
        <v>3747</v>
      </c>
      <c r="C135" s="8" t="n">
        <v>1</v>
      </c>
      <c r="D135" s="8" t="n">
        <v>25</v>
      </c>
      <c r="E135" s="8" t="n">
        <v>22.5</v>
      </c>
      <c r="F135" s="8" t="n">
        <v>90</v>
      </c>
      <c r="G135" s="8" t="n">
        <v>0</v>
      </c>
      <c r="H135" s="8" t="n">
        <v>0</v>
      </c>
    </row>
    <row r="136" customFormat="false" ht="15" hidden="false" customHeight="false" outlineLevel="0" collapsed="false">
      <c r="A136" s="7" t="n">
        <v>46233</v>
      </c>
      <c r="B136" s="8" t="n">
        <v>3745</v>
      </c>
      <c r="C136" s="8" t="n">
        <v>1</v>
      </c>
      <c r="D136" s="8" t="n">
        <v>18.2</v>
      </c>
      <c r="E136" s="8" t="n">
        <v>16.38</v>
      </c>
      <c r="F136" s="8" t="n">
        <v>90</v>
      </c>
      <c r="G136" s="8" t="n">
        <v>0</v>
      </c>
      <c r="H136" s="8" t="n">
        <v>0</v>
      </c>
    </row>
    <row r="137" customFormat="false" ht="15" hidden="false" customHeight="false" outlineLevel="0" collapsed="false">
      <c r="A137" s="7" t="n">
        <v>46233</v>
      </c>
      <c r="B137" s="8" t="n">
        <v>3746</v>
      </c>
      <c r="C137" s="8" t="n">
        <v>2</v>
      </c>
      <c r="D137" s="8" t="n">
        <v>18.2</v>
      </c>
      <c r="E137" s="8" t="n">
        <v>16.38</v>
      </c>
      <c r="F137" s="8" t="n">
        <v>90</v>
      </c>
      <c r="G137" s="8" t="n">
        <v>0</v>
      </c>
      <c r="H137" s="8" t="n">
        <v>0</v>
      </c>
    </row>
    <row r="138" customFormat="false" ht="15" hidden="false" customHeight="false" outlineLevel="0" collapsed="false">
      <c r="A138" s="7" t="n">
        <v>46233</v>
      </c>
      <c r="B138" s="8" t="n">
        <v>3747</v>
      </c>
      <c r="C138" s="8" t="n">
        <v>3</v>
      </c>
      <c r="D138" s="8" t="n">
        <v>18.2</v>
      </c>
      <c r="E138" s="8" t="n">
        <v>16.38</v>
      </c>
      <c r="F138" s="8" t="n">
        <v>90</v>
      </c>
      <c r="G138" s="8" t="n">
        <v>0</v>
      </c>
      <c r="H138" s="8" t="n">
        <v>0</v>
      </c>
    </row>
    <row r="139" customFormat="false" ht="15" hidden="false" customHeight="false" outlineLevel="0" collapsed="false">
      <c r="A139" s="7" t="n">
        <v>46233</v>
      </c>
      <c r="B139" s="8" t="n">
        <v>3713</v>
      </c>
      <c r="C139" s="8" t="n">
        <v>1</v>
      </c>
      <c r="D139" s="8" t="n">
        <v>7</v>
      </c>
      <c r="E139" s="8" t="n">
        <v>6.3</v>
      </c>
      <c r="F139" s="8" t="n">
        <v>90</v>
      </c>
      <c r="G139" s="8" t="n">
        <v>0</v>
      </c>
      <c r="H139" s="8" t="n">
        <v>0</v>
      </c>
    </row>
    <row r="140" customFormat="false" ht="15" hidden="false" customHeight="false" outlineLevel="0" collapsed="false">
      <c r="A140" s="7" t="n">
        <v>46233</v>
      </c>
      <c r="B140" s="8" t="n">
        <v>3748</v>
      </c>
      <c r="C140" s="8" t="n">
        <v>1</v>
      </c>
      <c r="D140" s="8" t="n">
        <v>11</v>
      </c>
      <c r="E140" s="8" t="n">
        <v>9.9</v>
      </c>
      <c r="F140" s="8" t="n">
        <v>90</v>
      </c>
      <c r="G140" s="8" t="n">
        <v>0</v>
      </c>
      <c r="H140" s="8" t="n">
        <v>0</v>
      </c>
    </row>
    <row r="141" customFormat="false" ht="15" hidden="false" customHeight="false" outlineLevel="0" collapsed="false">
      <c r="A141" s="7" t="n">
        <v>46233</v>
      </c>
      <c r="B141" s="8" t="n">
        <v>3751</v>
      </c>
      <c r="C141" s="8" t="n">
        <v>1</v>
      </c>
      <c r="D141" s="8" t="n">
        <v>25</v>
      </c>
      <c r="E141" s="8" t="n">
        <v>22.5</v>
      </c>
      <c r="F141" s="8" t="n">
        <v>90</v>
      </c>
      <c r="G141" s="8" t="n">
        <v>0</v>
      </c>
      <c r="H141" s="8" t="n">
        <v>0</v>
      </c>
    </row>
    <row r="142" customFormat="false" ht="15" hidden="false" customHeight="false" outlineLevel="0" collapsed="false">
      <c r="A142" s="7" t="n">
        <v>46233</v>
      </c>
      <c r="B142" s="8" t="n">
        <v>3752</v>
      </c>
      <c r="C142" s="8" t="n">
        <v>2</v>
      </c>
      <c r="D142" s="8" t="n">
        <v>25</v>
      </c>
      <c r="E142" s="8" t="n">
        <v>22.5</v>
      </c>
      <c r="F142" s="8" t="n">
        <v>90</v>
      </c>
      <c r="G142" s="8" t="n">
        <v>0</v>
      </c>
      <c r="H142" s="8" t="n">
        <v>0</v>
      </c>
    </row>
    <row r="143" customFormat="false" ht="15" hidden="false" customHeight="false" outlineLevel="0" collapsed="false">
      <c r="A143" s="7" t="n">
        <v>46233</v>
      </c>
      <c r="B143" s="8" t="n">
        <v>3753</v>
      </c>
      <c r="C143" s="8" t="n">
        <v>3</v>
      </c>
      <c r="D143" s="8" t="n">
        <v>25</v>
      </c>
      <c r="E143" s="8" t="n">
        <v>22.5</v>
      </c>
      <c r="F143" s="8" t="n">
        <v>90</v>
      </c>
      <c r="G143" s="8" t="n">
        <v>0</v>
      </c>
      <c r="H143" s="8" t="n">
        <v>0</v>
      </c>
    </row>
    <row r="144" customFormat="false" ht="15" hidden="false" customHeight="false" outlineLevel="0" collapsed="false">
      <c r="A144" s="7" t="n">
        <v>46233</v>
      </c>
      <c r="B144" s="8" t="n">
        <v>3754</v>
      </c>
      <c r="C144" s="8" t="n">
        <v>4</v>
      </c>
      <c r="D144" s="8" t="n">
        <v>25</v>
      </c>
      <c r="E144" s="8" t="n">
        <v>22.5</v>
      </c>
      <c r="F144" s="8" t="n">
        <v>90</v>
      </c>
      <c r="G144" s="8" t="n">
        <v>0</v>
      </c>
      <c r="H144" s="8" t="n">
        <v>0</v>
      </c>
    </row>
    <row r="145" customFormat="false" ht="15" hidden="false" customHeight="false" outlineLevel="0" collapsed="false">
      <c r="A145" s="7" t="n">
        <v>46233</v>
      </c>
      <c r="B145" s="8" t="n">
        <v>3754</v>
      </c>
      <c r="C145" s="8" t="n">
        <v>1</v>
      </c>
      <c r="D145" s="8" t="n">
        <v>14</v>
      </c>
      <c r="E145" s="8" t="n">
        <v>12.6</v>
      </c>
      <c r="F145" s="8" t="n">
        <v>90</v>
      </c>
      <c r="G145" s="8" t="n">
        <v>0</v>
      </c>
      <c r="H145" s="8" t="n">
        <v>0</v>
      </c>
    </row>
    <row r="146" customFormat="false" ht="15" hidden="false" customHeight="false" outlineLevel="0" collapsed="false">
      <c r="A146" s="7" t="n">
        <v>46233</v>
      </c>
      <c r="B146" s="8" t="n">
        <v>3728</v>
      </c>
      <c r="C146" s="8" t="n">
        <v>1</v>
      </c>
      <c r="D146" s="8" t="n">
        <v>15</v>
      </c>
      <c r="E146" s="8" t="n">
        <v>13.5</v>
      </c>
      <c r="F146" s="8" t="n">
        <v>90</v>
      </c>
      <c r="G146" s="8" t="n">
        <v>0</v>
      </c>
      <c r="H146" s="8" t="n">
        <v>0</v>
      </c>
    </row>
    <row r="147" customFormat="false" ht="15" hidden="false" customHeight="false" outlineLevel="0" collapsed="false">
      <c r="A147" s="7" t="n">
        <v>46233</v>
      </c>
      <c r="B147" s="8" t="n">
        <v>3729</v>
      </c>
      <c r="C147" s="8" t="n">
        <v>2</v>
      </c>
      <c r="D147" s="8" t="n">
        <v>15</v>
      </c>
      <c r="E147" s="8" t="n">
        <v>13.5</v>
      </c>
      <c r="F147" s="8" t="n">
        <v>90</v>
      </c>
      <c r="G147" s="8" t="n">
        <v>0</v>
      </c>
      <c r="H147" s="8" t="n">
        <v>0</v>
      </c>
    </row>
    <row r="148" customFormat="false" ht="15" hidden="false" customHeight="false" outlineLevel="0" collapsed="false">
      <c r="A148" s="7" t="n">
        <v>46233</v>
      </c>
      <c r="B148" s="8" t="n">
        <v>3753</v>
      </c>
      <c r="C148" s="8" t="n">
        <v>1</v>
      </c>
      <c r="D148" s="8" t="n">
        <v>25.25</v>
      </c>
      <c r="E148" s="8" t="n">
        <v>22.72</v>
      </c>
      <c r="F148" s="8" t="n">
        <v>89.98</v>
      </c>
      <c r="G148" s="8" t="n">
        <v>0</v>
      </c>
      <c r="H148" s="8" t="n">
        <v>0</v>
      </c>
    </row>
    <row r="149" customFormat="false" ht="15" hidden="false" customHeight="false" outlineLevel="0" collapsed="false">
      <c r="A149" s="7" t="n">
        <v>46233</v>
      </c>
      <c r="B149" s="8" t="n">
        <v>3758</v>
      </c>
      <c r="C149" s="8" t="n">
        <v>1</v>
      </c>
      <c r="D149" s="8" t="n">
        <v>5</v>
      </c>
      <c r="E149" s="8" t="n">
        <v>4.5</v>
      </c>
      <c r="F149" s="8" t="n">
        <v>90</v>
      </c>
      <c r="G149" s="8" t="n">
        <v>0</v>
      </c>
      <c r="H149" s="8" t="n">
        <v>0</v>
      </c>
    </row>
    <row r="150" customFormat="false" ht="15" hidden="false" customHeight="false" outlineLevel="0" collapsed="false">
      <c r="A150" s="7" t="n">
        <v>46233</v>
      </c>
      <c r="B150" s="8" t="n">
        <v>3755</v>
      </c>
      <c r="C150" s="8" t="n">
        <v>1</v>
      </c>
      <c r="D150" s="8" t="n">
        <v>20.15</v>
      </c>
      <c r="E150" s="8" t="n">
        <v>18.13</v>
      </c>
      <c r="F150" s="8" t="n">
        <v>89.98</v>
      </c>
      <c r="G150" s="8" t="n">
        <v>0</v>
      </c>
      <c r="H150" s="8" t="n">
        <v>0</v>
      </c>
    </row>
    <row r="151" customFormat="false" ht="15" hidden="false" customHeight="false" outlineLevel="0" collapsed="false">
      <c r="A151" s="7" t="n">
        <v>46233</v>
      </c>
      <c r="B151" s="8" t="n">
        <v>3759</v>
      </c>
      <c r="C151" s="8" t="n">
        <v>1</v>
      </c>
      <c r="D151" s="8" t="n">
        <v>12</v>
      </c>
      <c r="E151" s="8" t="n">
        <v>10.8</v>
      </c>
      <c r="F151" s="8" t="n">
        <v>90</v>
      </c>
      <c r="G151" s="8" t="n">
        <v>0</v>
      </c>
      <c r="H151" s="8" t="n">
        <v>0</v>
      </c>
    </row>
    <row r="152" customFormat="false" ht="15" hidden="false" customHeight="false" outlineLevel="0" collapsed="false">
      <c r="A152" s="7" t="n">
        <v>46233</v>
      </c>
      <c r="B152" s="8" t="n">
        <v>3778</v>
      </c>
      <c r="C152" s="8" t="n">
        <v>1</v>
      </c>
      <c r="D152" s="8" t="n">
        <v>21</v>
      </c>
      <c r="E152" s="8" t="n">
        <v>18.9</v>
      </c>
      <c r="F152" s="8" t="n">
        <v>90</v>
      </c>
      <c r="G152" s="8" t="n">
        <v>0</v>
      </c>
      <c r="H152" s="8" t="n">
        <v>0</v>
      </c>
    </row>
    <row r="153" customFormat="false" ht="15" hidden="false" customHeight="false" outlineLevel="0" collapsed="false">
      <c r="A153" s="7" t="n">
        <v>46234</v>
      </c>
      <c r="B153" s="8" t="n">
        <v>3781</v>
      </c>
      <c r="C153" s="8" t="n">
        <v>1</v>
      </c>
      <c r="D153" s="8" t="n">
        <v>12.5</v>
      </c>
      <c r="E153" s="8" t="n">
        <v>11.25</v>
      </c>
      <c r="F153" s="8" t="n">
        <v>90</v>
      </c>
      <c r="G153" s="8" t="n">
        <v>0</v>
      </c>
      <c r="H153" s="8" t="n">
        <v>0</v>
      </c>
    </row>
    <row r="154" customFormat="false" ht="15" hidden="false" customHeight="false" outlineLevel="0" collapsed="false">
      <c r="A154" s="7" t="n">
        <v>46234</v>
      </c>
      <c r="B154" s="8" t="n">
        <v>3779</v>
      </c>
      <c r="C154" s="8" t="n">
        <v>1</v>
      </c>
      <c r="D154" s="8" t="n">
        <v>20</v>
      </c>
      <c r="E154" s="8" t="n">
        <v>18</v>
      </c>
      <c r="F154" s="8" t="n">
        <v>90</v>
      </c>
      <c r="G154" s="8" t="n">
        <v>0</v>
      </c>
      <c r="H154" s="8" t="n">
        <v>0</v>
      </c>
    </row>
    <row r="155" customFormat="false" ht="15" hidden="false" customHeight="false" outlineLevel="0" collapsed="false">
      <c r="A155" s="7" t="n">
        <v>46234</v>
      </c>
      <c r="B155" s="8" t="n">
        <v>3780</v>
      </c>
      <c r="C155" s="8" t="n">
        <v>2</v>
      </c>
      <c r="D155" s="8" t="n">
        <v>20</v>
      </c>
      <c r="E155" s="8" t="n">
        <v>18</v>
      </c>
      <c r="F155" s="8" t="n">
        <v>90</v>
      </c>
      <c r="G155" s="8" t="n">
        <v>0</v>
      </c>
      <c r="H155" s="8" t="n">
        <v>0</v>
      </c>
    </row>
    <row r="156" customFormat="false" ht="15" hidden="false" customHeight="false" outlineLevel="0" collapsed="false">
      <c r="A156" s="7" t="n">
        <v>46234</v>
      </c>
      <c r="B156" s="8" t="n">
        <v>3761</v>
      </c>
      <c r="C156" s="8" t="n">
        <v>1</v>
      </c>
      <c r="D156" s="8" t="n">
        <v>20.15</v>
      </c>
      <c r="E156" s="8" t="n">
        <v>18.13</v>
      </c>
      <c r="F156" s="8" t="n">
        <v>89.98</v>
      </c>
      <c r="G156" s="8" t="n">
        <v>0</v>
      </c>
      <c r="H156" s="8" t="n">
        <v>0</v>
      </c>
    </row>
    <row r="157" customFormat="false" ht="15" hidden="false" customHeight="false" outlineLevel="0" collapsed="false">
      <c r="A157" s="7" t="n">
        <v>46234</v>
      </c>
      <c r="B157" s="8" t="n">
        <v>3764</v>
      </c>
      <c r="C157" s="8" t="n">
        <v>1</v>
      </c>
      <c r="D157" s="8" t="n">
        <v>15.32</v>
      </c>
      <c r="E157" s="8" t="n">
        <v>13.79</v>
      </c>
      <c r="F157" s="8" t="n">
        <v>90.01</v>
      </c>
      <c r="G157" s="8" t="n">
        <v>0</v>
      </c>
      <c r="H157" s="8" t="n">
        <v>0</v>
      </c>
    </row>
    <row r="158" customFormat="false" ht="15" hidden="false" customHeight="false" outlineLevel="0" collapsed="false">
      <c r="A158" s="7" t="n">
        <v>46234</v>
      </c>
      <c r="B158" s="8" t="n">
        <v>3765</v>
      </c>
      <c r="C158" s="8" t="n">
        <v>2</v>
      </c>
      <c r="D158" s="8" t="n">
        <v>15.32</v>
      </c>
      <c r="E158" s="8" t="n">
        <v>13.79</v>
      </c>
      <c r="F158" s="8" t="n">
        <v>90.01</v>
      </c>
      <c r="G158" s="8" t="n">
        <v>0</v>
      </c>
      <c r="H158" s="8" t="n">
        <v>0</v>
      </c>
    </row>
    <row r="159" customFormat="false" ht="15" hidden="false" customHeight="false" outlineLevel="0" collapsed="false">
      <c r="A159" s="7" t="n">
        <v>46234</v>
      </c>
      <c r="B159" s="8" t="n">
        <v>3763</v>
      </c>
      <c r="C159" s="8" t="n">
        <v>1</v>
      </c>
      <c r="D159" s="8" t="n">
        <v>18.69</v>
      </c>
      <c r="E159" s="8" t="n">
        <v>16.82</v>
      </c>
      <c r="F159" s="8" t="n">
        <v>89.99</v>
      </c>
      <c r="G159" s="8" t="n">
        <v>0</v>
      </c>
      <c r="H159" s="8" t="n">
        <v>0</v>
      </c>
    </row>
    <row r="160" customFormat="false" ht="15" hidden="false" customHeight="false" outlineLevel="0" collapsed="false">
      <c r="A160" s="7" t="n">
        <v>46234</v>
      </c>
      <c r="B160" s="8" t="n">
        <v>3764</v>
      </c>
      <c r="C160" s="8" t="n">
        <v>2</v>
      </c>
      <c r="D160" s="8" t="n">
        <v>18.68</v>
      </c>
      <c r="E160" s="8" t="n">
        <v>16.81</v>
      </c>
      <c r="F160" s="8" t="n">
        <v>89.99</v>
      </c>
      <c r="G160" s="8" t="n">
        <v>0</v>
      </c>
      <c r="H160" s="8" t="n">
        <v>0</v>
      </c>
    </row>
    <row r="161" customFormat="false" ht="15" hidden="false" customHeight="false" outlineLevel="0" collapsed="false">
      <c r="A161" s="7" t="n">
        <v>46234</v>
      </c>
      <c r="B161" s="8" t="n">
        <v>3765</v>
      </c>
      <c r="C161" s="8" t="n">
        <v>3</v>
      </c>
      <c r="D161" s="8" t="n">
        <v>18.69</v>
      </c>
      <c r="E161" s="8" t="n">
        <v>16.82</v>
      </c>
      <c r="F161" s="8" t="n">
        <v>89.99</v>
      </c>
      <c r="G161" s="8" t="n">
        <v>0</v>
      </c>
      <c r="H161" s="8" t="n">
        <v>0</v>
      </c>
    </row>
    <row r="162" customFormat="false" ht="15" hidden="false" customHeight="false" outlineLevel="0" collapsed="false">
      <c r="A162" s="7" t="n">
        <v>46234</v>
      </c>
      <c r="B162" s="8" t="n">
        <v>3771</v>
      </c>
      <c r="C162" s="8" t="n">
        <v>1</v>
      </c>
      <c r="D162" s="8" t="n">
        <v>14.22</v>
      </c>
      <c r="E162" s="8" t="n">
        <v>12.8</v>
      </c>
      <c r="F162" s="8" t="n">
        <v>90.01</v>
      </c>
      <c r="G162" s="8" t="n">
        <v>0</v>
      </c>
      <c r="H162" s="8" t="n">
        <v>0</v>
      </c>
    </row>
    <row r="163" customFormat="false" ht="15" hidden="false" customHeight="false" outlineLevel="0" collapsed="false">
      <c r="A163" s="7" t="n">
        <v>46234</v>
      </c>
      <c r="B163" s="8" t="n">
        <v>3772</v>
      </c>
      <c r="C163" s="8" t="n">
        <v>2</v>
      </c>
      <c r="D163" s="8" t="n">
        <v>14.22</v>
      </c>
      <c r="E163" s="8" t="n">
        <v>12.8</v>
      </c>
      <c r="F163" s="8" t="n">
        <v>90.01</v>
      </c>
      <c r="G163" s="8" t="n">
        <v>0</v>
      </c>
      <c r="H163" s="8" t="n">
        <v>0</v>
      </c>
    </row>
    <row r="164" customFormat="false" ht="15" hidden="false" customHeight="false" outlineLevel="0" collapsed="false">
      <c r="A164" s="7" t="n">
        <v>46234</v>
      </c>
      <c r="B164" s="8" t="n">
        <v>3781</v>
      </c>
      <c r="C164" s="8" t="n">
        <v>2</v>
      </c>
      <c r="D164" s="8" t="n">
        <v>25</v>
      </c>
      <c r="E164" s="8" t="n">
        <v>22.5</v>
      </c>
      <c r="F164" s="8" t="n">
        <v>90</v>
      </c>
      <c r="G164" s="8" t="n">
        <v>0</v>
      </c>
      <c r="H164" s="8" t="n">
        <v>0</v>
      </c>
    </row>
    <row r="165" customFormat="false" ht="15" hidden="false" customHeight="false" outlineLevel="0" collapsed="false">
      <c r="A165" s="7" t="n">
        <v>46234</v>
      </c>
      <c r="B165" s="8" t="n">
        <v>3782</v>
      </c>
      <c r="C165" s="8" t="n">
        <v>3</v>
      </c>
      <c r="D165" s="8" t="n">
        <v>25</v>
      </c>
      <c r="E165" s="8" t="n">
        <v>22.5</v>
      </c>
      <c r="F165" s="8" t="n">
        <v>90</v>
      </c>
      <c r="G165" s="8" t="n">
        <v>0</v>
      </c>
      <c r="H165" s="8" t="n">
        <v>0</v>
      </c>
    </row>
    <row r="166" customFormat="false" ht="15" hidden="false" customHeight="false" outlineLevel="0" collapsed="false">
      <c r="A166" s="7" t="n">
        <v>46234</v>
      </c>
      <c r="B166" s="8" t="n">
        <v>3774</v>
      </c>
      <c r="C166" s="8" t="n">
        <v>1</v>
      </c>
      <c r="D166" s="8" t="n">
        <v>15</v>
      </c>
      <c r="E166" s="8" t="n">
        <v>13.5</v>
      </c>
      <c r="F166" s="8" t="n">
        <v>90</v>
      </c>
      <c r="G166" s="8" t="n">
        <v>0</v>
      </c>
      <c r="H166" s="8" t="n">
        <v>0</v>
      </c>
    </row>
    <row r="167" customFormat="false" ht="15" hidden="false" customHeight="false" outlineLevel="0" collapsed="false">
      <c r="A167" s="7" t="n">
        <v>46234</v>
      </c>
      <c r="B167" s="8" t="n">
        <v>3785</v>
      </c>
      <c r="C167" s="8" t="n">
        <v>1</v>
      </c>
      <c r="D167" s="8" t="n">
        <v>11.8</v>
      </c>
      <c r="E167" s="8" t="n">
        <v>10.62</v>
      </c>
      <c r="F167" s="8" t="n">
        <v>90</v>
      </c>
      <c r="G167" s="8" t="n">
        <v>0</v>
      </c>
      <c r="H167" s="8" t="n">
        <v>0</v>
      </c>
    </row>
    <row r="168" customFormat="false" ht="15" hidden="false" customHeight="false" outlineLevel="0" collapsed="false">
      <c r="A168" s="7" t="n">
        <v>46237</v>
      </c>
      <c r="B168" s="8" t="n">
        <v>3756</v>
      </c>
      <c r="C168" s="8" t="n">
        <v>1</v>
      </c>
      <c r="D168" s="8" t="n">
        <v>14.5</v>
      </c>
      <c r="E168" s="8" t="n">
        <v>13.05</v>
      </c>
      <c r="F168" s="8" t="n">
        <v>90</v>
      </c>
      <c r="G168" s="8" t="n">
        <v>0</v>
      </c>
      <c r="H168" s="8" t="n">
        <v>0</v>
      </c>
    </row>
    <row r="169" customFormat="false" ht="15" hidden="false" customHeight="false" outlineLevel="0" collapsed="false">
      <c r="A169" s="7" t="n">
        <v>46237</v>
      </c>
      <c r="B169" s="8" t="n">
        <v>3768</v>
      </c>
      <c r="C169" s="8" t="n">
        <v>1</v>
      </c>
      <c r="D169" s="8" t="n">
        <v>11.87</v>
      </c>
      <c r="E169" s="8" t="n">
        <v>10.68</v>
      </c>
      <c r="F169" s="8" t="n">
        <v>89.97</v>
      </c>
      <c r="G169" s="8" t="n">
        <v>0</v>
      </c>
      <c r="H169" s="8" t="n">
        <v>0</v>
      </c>
    </row>
    <row r="170" customFormat="false" ht="15" hidden="false" customHeight="false" outlineLevel="0" collapsed="false">
      <c r="A170" s="7" t="n">
        <v>46237</v>
      </c>
      <c r="B170" s="8" t="n">
        <v>3769</v>
      </c>
      <c r="C170" s="8" t="n">
        <v>2</v>
      </c>
      <c r="D170" s="8" t="n">
        <v>25</v>
      </c>
      <c r="E170" s="8" t="n">
        <v>22.5</v>
      </c>
      <c r="F170" s="8" t="n">
        <v>90</v>
      </c>
      <c r="G170" s="8" t="n">
        <v>0</v>
      </c>
      <c r="H170" s="8" t="n">
        <v>0</v>
      </c>
    </row>
    <row r="171" customFormat="false" ht="15" hidden="false" customHeight="false" outlineLevel="0" collapsed="false">
      <c r="A171" s="7" t="n">
        <v>46237</v>
      </c>
      <c r="B171" s="8" t="n">
        <v>3782</v>
      </c>
      <c r="C171" s="8" t="n">
        <v>1</v>
      </c>
      <c r="D171" s="8" t="n">
        <v>19.9</v>
      </c>
      <c r="E171" s="8" t="n">
        <v>17.91</v>
      </c>
      <c r="F171" s="8" t="n">
        <v>90</v>
      </c>
      <c r="G171" s="8" t="n">
        <v>0</v>
      </c>
      <c r="H171" s="8" t="n">
        <v>0</v>
      </c>
    </row>
    <row r="172" customFormat="false" ht="15" hidden="false" customHeight="false" outlineLevel="0" collapsed="false">
      <c r="A172" s="7" t="n">
        <v>46237</v>
      </c>
      <c r="B172" s="8" t="n">
        <v>3773</v>
      </c>
      <c r="C172" s="8" t="n">
        <v>1</v>
      </c>
      <c r="D172" s="8" t="n">
        <v>12.07</v>
      </c>
      <c r="E172" s="8" t="n">
        <v>10.86</v>
      </c>
      <c r="F172" s="8" t="n">
        <v>89.98</v>
      </c>
      <c r="G172" s="8" t="n">
        <v>0</v>
      </c>
      <c r="H172" s="8" t="n">
        <v>0</v>
      </c>
    </row>
    <row r="173" customFormat="false" ht="15" hidden="false" customHeight="false" outlineLevel="0" collapsed="false">
      <c r="A173" s="7" t="n">
        <v>46237</v>
      </c>
      <c r="B173" s="8" t="n">
        <v>3767</v>
      </c>
      <c r="C173" s="8" t="n">
        <v>1</v>
      </c>
      <c r="D173" s="8" t="n">
        <v>7.12</v>
      </c>
      <c r="E173" s="8" t="n">
        <v>6.41</v>
      </c>
      <c r="F173" s="8" t="n">
        <v>90.03</v>
      </c>
      <c r="G173" s="8" t="n">
        <v>0</v>
      </c>
      <c r="H173" s="8" t="n">
        <v>0</v>
      </c>
    </row>
    <row r="174" customFormat="false" ht="15" hidden="false" customHeight="false" outlineLevel="0" collapsed="false">
      <c r="A174" s="7" t="n">
        <v>46237</v>
      </c>
      <c r="B174" s="8" t="n">
        <v>3769</v>
      </c>
      <c r="C174" s="8" t="n">
        <v>1</v>
      </c>
      <c r="D174" s="8" t="n">
        <v>18</v>
      </c>
      <c r="E174" s="8" t="n">
        <v>16.2</v>
      </c>
      <c r="F174" s="8" t="n">
        <v>90</v>
      </c>
      <c r="G174" s="8" t="n">
        <v>0</v>
      </c>
      <c r="H174" s="8" t="n">
        <v>0</v>
      </c>
    </row>
    <row r="175" customFormat="false" ht="15" hidden="false" customHeight="false" outlineLevel="0" collapsed="false">
      <c r="A175" s="7" t="n">
        <v>46237</v>
      </c>
      <c r="B175" s="8" t="n">
        <v>3766</v>
      </c>
      <c r="C175" s="8" t="n">
        <v>1</v>
      </c>
      <c r="D175" s="8" t="n">
        <v>14</v>
      </c>
      <c r="E175" s="8" t="n">
        <v>12.6</v>
      </c>
      <c r="F175" s="8" t="n">
        <v>90</v>
      </c>
      <c r="G175" s="8" t="n">
        <v>0</v>
      </c>
      <c r="H175" s="8" t="n">
        <v>0</v>
      </c>
    </row>
    <row r="176" customFormat="false" ht="15" hidden="false" customHeight="false" outlineLevel="0" collapsed="false">
      <c r="A176" s="7" t="n">
        <v>46237</v>
      </c>
      <c r="B176" s="8" t="n">
        <v>3767</v>
      </c>
      <c r="C176" s="8" t="n">
        <v>2</v>
      </c>
      <c r="D176" s="8" t="n">
        <v>12</v>
      </c>
      <c r="E176" s="8" t="n">
        <v>10.8</v>
      </c>
      <c r="F176" s="8" t="n">
        <v>90</v>
      </c>
      <c r="G176" s="8" t="n">
        <v>0</v>
      </c>
      <c r="H176" s="8" t="n">
        <v>0</v>
      </c>
    </row>
    <row r="177" customFormat="false" ht="15" hidden="false" customHeight="false" outlineLevel="0" collapsed="false">
      <c r="A177" s="7" t="n">
        <v>46237</v>
      </c>
      <c r="B177" s="8" t="n">
        <v>3762</v>
      </c>
      <c r="C177" s="8" t="n">
        <v>1</v>
      </c>
      <c r="D177" s="8" t="n">
        <v>20</v>
      </c>
      <c r="E177" s="8" t="n">
        <v>18</v>
      </c>
      <c r="F177" s="8" t="n">
        <v>90</v>
      </c>
      <c r="G177" s="8" t="n">
        <v>0</v>
      </c>
      <c r="H177" s="8" t="n">
        <v>0</v>
      </c>
    </row>
    <row r="178" customFormat="false" ht="15" hidden="false" customHeight="false" outlineLevel="0" collapsed="false">
      <c r="A178" s="7" t="n">
        <v>46237</v>
      </c>
      <c r="B178" s="8" t="n">
        <v>3763</v>
      </c>
      <c r="C178" s="8" t="n">
        <v>2</v>
      </c>
      <c r="D178" s="8" t="n">
        <v>20</v>
      </c>
      <c r="E178" s="8" t="n">
        <v>18</v>
      </c>
      <c r="F178" s="8" t="n">
        <v>90</v>
      </c>
      <c r="G178" s="8" t="n">
        <v>0</v>
      </c>
      <c r="H178" s="8" t="n">
        <v>0</v>
      </c>
    </row>
    <row r="179" customFormat="false" ht="15" hidden="false" customHeight="false" outlineLevel="0" collapsed="false">
      <c r="A179" s="7" t="n">
        <v>46237</v>
      </c>
      <c r="B179" s="8" t="n">
        <v>3764</v>
      </c>
      <c r="C179" s="8" t="n">
        <v>3</v>
      </c>
      <c r="D179" s="8" t="n">
        <v>20.32</v>
      </c>
      <c r="E179" s="8" t="n">
        <v>18.29</v>
      </c>
      <c r="F179" s="8" t="n">
        <v>90.01</v>
      </c>
      <c r="G179" s="8" t="n">
        <v>0</v>
      </c>
      <c r="H179" s="8" t="n">
        <v>0</v>
      </c>
    </row>
    <row r="180" customFormat="false" ht="15" hidden="false" customHeight="false" outlineLevel="0" collapsed="false">
      <c r="A180" s="7" t="n">
        <v>46237</v>
      </c>
      <c r="B180" s="8" t="n">
        <v>3765</v>
      </c>
      <c r="C180" s="8" t="n">
        <v>4</v>
      </c>
      <c r="D180" s="8" t="n">
        <v>20.32</v>
      </c>
      <c r="E180" s="8" t="n">
        <v>18.29</v>
      </c>
      <c r="F180" s="8" t="n">
        <v>90.01</v>
      </c>
      <c r="G180" s="8" t="n">
        <v>0</v>
      </c>
      <c r="H180" s="8" t="n">
        <v>0</v>
      </c>
    </row>
    <row r="181" customFormat="false" ht="15" hidden="false" customHeight="false" outlineLevel="0" collapsed="false">
      <c r="A181" s="7" t="n">
        <v>46237</v>
      </c>
      <c r="B181" s="8" t="n">
        <v>3766</v>
      </c>
      <c r="C181" s="8" t="n">
        <v>5</v>
      </c>
      <c r="D181" s="8" t="n">
        <v>20.32</v>
      </c>
      <c r="E181" s="8" t="n">
        <v>18.29</v>
      </c>
      <c r="F181" s="8" t="n">
        <v>90.01</v>
      </c>
      <c r="G181" s="8" t="n">
        <v>0</v>
      </c>
      <c r="H181" s="8" t="n">
        <v>0</v>
      </c>
    </row>
    <row r="182" customFormat="false" ht="15" hidden="false" customHeight="false" outlineLevel="0" collapsed="false">
      <c r="A182" s="7" t="n">
        <v>46237</v>
      </c>
      <c r="B182" s="8" t="n">
        <v>3770</v>
      </c>
      <c r="C182" s="8" t="n">
        <v>1</v>
      </c>
      <c r="D182" s="8" t="n">
        <v>5</v>
      </c>
      <c r="E182" s="8" t="n">
        <v>4.5</v>
      </c>
      <c r="F182" s="8" t="n">
        <v>90</v>
      </c>
      <c r="G182" s="8" t="n">
        <v>0</v>
      </c>
      <c r="H182" s="8" t="n">
        <v>0</v>
      </c>
    </row>
    <row r="183" customFormat="false" ht="15" hidden="false" customHeight="false" outlineLevel="0" collapsed="false">
      <c r="A183" s="7" t="n">
        <v>46237</v>
      </c>
      <c r="B183" s="8" t="n">
        <v>3771</v>
      </c>
      <c r="C183" s="8" t="n">
        <v>2</v>
      </c>
      <c r="D183" s="8" t="n">
        <v>16.1</v>
      </c>
      <c r="E183" s="8" t="n">
        <v>14.49</v>
      </c>
      <c r="F183" s="8" t="n">
        <v>90</v>
      </c>
      <c r="G183" s="8" t="n">
        <v>0</v>
      </c>
      <c r="H183" s="8" t="n">
        <v>0</v>
      </c>
    </row>
    <row r="184" customFormat="false" ht="15" hidden="false" customHeight="false" outlineLevel="0" collapsed="false">
      <c r="A184" s="7" t="n">
        <v>46237</v>
      </c>
      <c r="B184" s="8" t="n">
        <v>3774</v>
      </c>
      <c r="C184" s="8" t="n">
        <v>4</v>
      </c>
      <c r="D184" s="8" t="n">
        <v>12</v>
      </c>
      <c r="E184" s="8" t="n">
        <v>10.8</v>
      </c>
      <c r="F184" s="8" t="n">
        <v>90</v>
      </c>
      <c r="G184" s="8" t="n">
        <v>0</v>
      </c>
      <c r="H184" s="8" t="n">
        <v>0</v>
      </c>
    </row>
    <row r="185" customFormat="false" ht="15" hidden="false" customHeight="false" outlineLevel="0" collapsed="false">
      <c r="A185" s="7" t="n">
        <v>46237</v>
      </c>
      <c r="B185" s="8" t="n">
        <v>3783</v>
      </c>
      <c r="C185" s="8" t="n">
        <v>1</v>
      </c>
      <c r="D185" s="8" t="n">
        <v>15</v>
      </c>
      <c r="E185" s="8" t="n">
        <v>13.5</v>
      </c>
      <c r="F185" s="8" t="n">
        <v>90</v>
      </c>
      <c r="G185" s="8" t="n">
        <v>0</v>
      </c>
      <c r="H185" s="8" t="n">
        <v>0</v>
      </c>
    </row>
    <row r="186" customFormat="false" ht="15" hidden="false" customHeight="false" outlineLevel="0" collapsed="false">
      <c r="A186" s="7" t="n">
        <v>46237</v>
      </c>
      <c r="B186" s="8" t="n">
        <v>3784</v>
      </c>
      <c r="C186" s="8" t="n">
        <v>2</v>
      </c>
      <c r="D186" s="8" t="n">
        <v>15</v>
      </c>
      <c r="E186" s="8" t="n">
        <v>13.5</v>
      </c>
      <c r="F186" s="8" t="n">
        <v>90</v>
      </c>
      <c r="G186" s="8" t="n">
        <v>0</v>
      </c>
      <c r="H186" s="8" t="n">
        <v>0</v>
      </c>
    </row>
    <row r="187" customFormat="false" ht="15" hidden="false" customHeight="false" outlineLevel="0" collapsed="false">
      <c r="A187" s="7" t="n">
        <v>46238</v>
      </c>
      <c r="B187" s="8" t="n">
        <v>3785</v>
      </c>
      <c r="C187" s="8" t="n">
        <v>3</v>
      </c>
      <c r="D187" s="8" t="n">
        <v>12</v>
      </c>
      <c r="E187" s="8" t="n">
        <v>10.8</v>
      </c>
      <c r="F187" s="8" t="n">
        <v>90</v>
      </c>
      <c r="G187" s="8" t="n">
        <v>0</v>
      </c>
      <c r="H187" s="8" t="n">
        <v>0</v>
      </c>
    </row>
    <row r="188" customFormat="false" ht="15" hidden="false" customHeight="false" outlineLevel="0" collapsed="false">
      <c r="A188" s="7" t="n">
        <v>46238</v>
      </c>
      <c r="B188" s="8" t="n">
        <v>3803</v>
      </c>
      <c r="C188" s="8" t="n">
        <v>1</v>
      </c>
      <c r="D188" s="8" t="n">
        <v>25.5</v>
      </c>
      <c r="E188" s="8" t="n">
        <v>22.95</v>
      </c>
      <c r="F188" s="8" t="n">
        <v>90</v>
      </c>
      <c r="G188" s="8" t="n">
        <v>0</v>
      </c>
      <c r="H188" s="8" t="n">
        <v>0</v>
      </c>
    </row>
    <row r="189" customFormat="false" ht="15" hidden="false" customHeight="false" outlineLevel="0" collapsed="false">
      <c r="A189" s="7" t="n">
        <v>46238</v>
      </c>
      <c r="B189" s="8" t="n">
        <v>3804</v>
      </c>
      <c r="C189" s="8" t="n">
        <v>2</v>
      </c>
      <c r="D189" s="8" t="n">
        <v>25.5</v>
      </c>
      <c r="E189" s="8" t="n">
        <v>22.95</v>
      </c>
      <c r="F189" s="8" t="n">
        <v>90</v>
      </c>
      <c r="G189" s="8" t="n">
        <v>0</v>
      </c>
      <c r="H189" s="8" t="n">
        <v>0</v>
      </c>
    </row>
    <row r="190" customFormat="false" ht="15" hidden="false" customHeight="false" outlineLevel="0" collapsed="false">
      <c r="A190" s="7" t="n">
        <v>46238</v>
      </c>
      <c r="B190" s="8" t="n">
        <v>3805</v>
      </c>
      <c r="C190" s="8" t="n">
        <v>3</v>
      </c>
      <c r="D190" s="8" t="n">
        <v>25.5</v>
      </c>
      <c r="E190" s="8" t="n">
        <v>22.95</v>
      </c>
      <c r="F190" s="8" t="n">
        <v>90</v>
      </c>
      <c r="G190" s="8" t="n">
        <v>0</v>
      </c>
      <c r="H190" s="8" t="n">
        <v>0</v>
      </c>
    </row>
    <row r="191" customFormat="false" ht="15" hidden="false" customHeight="false" outlineLevel="0" collapsed="false">
      <c r="A191" s="7" t="n">
        <v>46238</v>
      </c>
      <c r="B191" s="8" t="n">
        <v>3806</v>
      </c>
      <c r="C191" s="8" t="n">
        <v>4</v>
      </c>
      <c r="D191" s="8" t="n">
        <v>25.5</v>
      </c>
      <c r="E191" s="8" t="n">
        <v>22.95</v>
      </c>
      <c r="F191" s="8" t="n">
        <v>90</v>
      </c>
      <c r="G191" s="8" t="n">
        <v>0</v>
      </c>
      <c r="H191" s="8" t="n">
        <v>0</v>
      </c>
    </row>
    <row r="192" customFormat="false" ht="15" hidden="false" customHeight="false" outlineLevel="0" collapsed="false">
      <c r="A192" s="7" t="n">
        <v>46238</v>
      </c>
      <c r="B192" s="8" t="n">
        <v>3807</v>
      </c>
      <c r="C192" s="8" t="n">
        <v>5</v>
      </c>
      <c r="D192" s="8" t="n">
        <v>25</v>
      </c>
      <c r="E192" s="8" t="n">
        <v>22.5</v>
      </c>
      <c r="F192" s="8" t="n">
        <v>90</v>
      </c>
      <c r="G192" s="8" t="n">
        <v>0</v>
      </c>
      <c r="H192" s="8" t="n">
        <v>0</v>
      </c>
    </row>
    <row r="193" customFormat="false" ht="15" hidden="false" customHeight="false" outlineLevel="0" collapsed="false">
      <c r="A193" s="7" t="n">
        <v>46238</v>
      </c>
      <c r="B193" s="8" t="n">
        <v>3808</v>
      </c>
      <c r="C193" s="8" t="n">
        <v>6</v>
      </c>
      <c r="D193" s="8" t="n">
        <v>25</v>
      </c>
      <c r="E193" s="8" t="n">
        <v>22.5</v>
      </c>
      <c r="F193" s="8" t="n">
        <v>90</v>
      </c>
      <c r="G193" s="8" t="n">
        <v>0</v>
      </c>
      <c r="H193" s="8" t="n">
        <v>0</v>
      </c>
    </row>
    <row r="194" customFormat="false" ht="15" hidden="false" customHeight="false" outlineLevel="0" collapsed="false">
      <c r="A194" s="7" t="n">
        <v>46238</v>
      </c>
      <c r="B194" s="8" t="n">
        <v>3809</v>
      </c>
      <c r="C194" s="8" t="n">
        <v>7</v>
      </c>
      <c r="D194" s="8" t="n">
        <v>20</v>
      </c>
      <c r="E194" s="8" t="n">
        <v>18</v>
      </c>
      <c r="F194" s="8" t="n">
        <v>90</v>
      </c>
      <c r="G194" s="8" t="n">
        <v>0</v>
      </c>
      <c r="H194" s="8" t="n">
        <v>0</v>
      </c>
    </row>
    <row r="195" customFormat="false" ht="15" hidden="false" customHeight="false" outlineLevel="0" collapsed="false">
      <c r="A195" s="7" t="n">
        <v>46238</v>
      </c>
      <c r="B195" s="8" t="n">
        <v>3792</v>
      </c>
      <c r="C195" s="8" t="n">
        <v>1</v>
      </c>
      <c r="D195" s="8" t="n">
        <v>20</v>
      </c>
      <c r="E195" s="8" t="n">
        <v>18</v>
      </c>
      <c r="F195" s="8" t="n">
        <v>90</v>
      </c>
      <c r="G195" s="8" t="n">
        <v>0</v>
      </c>
      <c r="H195" s="8" t="n">
        <v>0</v>
      </c>
    </row>
    <row r="196" customFormat="false" ht="15" hidden="false" customHeight="false" outlineLevel="0" collapsed="false">
      <c r="A196" s="7" t="n">
        <v>46238</v>
      </c>
      <c r="B196" s="8" t="n">
        <v>3793</v>
      </c>
      <c r="C196" s="8" t="n">
        <v>2</v>
      </c>
      <c r="D196" s="8" t="n">
        <v>12</v>
      </c>
      <c r="E196" s="8" t="n">
        <v>10.8</v>
      </c>
      <c r="F196" s="8" t="n">
        <v>90</v>
      </c>
      <c r="G196" s="8" t="n">
        <v>0</v>
      </c>
      <c r="H196" s="8" t="n">
        <v>0</v>
      </c>
    </row>
    <row r="197" customFormat="false" ht="15" hidden="false" customHeight="false" outlineLevel="0" collapsed="false">
      <c r="A197" s="7" t="n">
        <v>46238</v>
      </c>
      <c r="B197" s="8" t="n">
        <v>3797</v>
      </c>
      <c r="C197" s="8" t="n">
        <v>1</v>
      </c>
      <c r="D197" s="8" t="n">
        <v>8</v>
      </c>
      <c r="E197" s="8" t="n">
        <v>7.2</v>
      </c>
      <c r="F197" s="8" t="n">
        <v>90</v>
      </c>
      <c r="G197" s="8" t="n">
        <v>0</v>
      </c>
      <c r="H197" s="8" t="n">
        <v>0</v>
      </c>
    </row>
    <row r="198" customFormat="false" ht="15" hidden="false" customHeight="false" outlineLevel="0" collapsed="false">
      <c r="A198" s="7" t="n">
        <v>46238</v>
      </c>
      <c r="B198" s="8" t="n">
        <v>3809</v>
      </c>
      <c r="C198" s="8" t="n">
        <v>1</v>
      </c>
      <c r="D198" s="8" t="n">
        <v>7.2</v>
      </c>
      <c r="E198" s="8" t="n">
        <v>6.48</v>
      </c>
      <c r="F198" s="8" t="n">
        <v>90</v>
      </c>
      <c r="G198" s="8" t="n">
        <v>0</v>
      </c>
      <c r="H198" s="8" t="n">
        <v>0</v>
      </c>
    </row>
    <row r="199" customFormat="false" ht="15" hidden="false" customHeight="false" outlineLevel="0" collapsed="false">
      <c r="A199" s="7" t="n">
        <v>46238</v>
      </c>
      <c r="B199" s="8" t="n">
        <v>3791</v>
      </c>
      <c r="C199" s="8" t="n">
        <v>1</v>
      </c>
      <c r="D199" s="8" t="n">
        <v>20.32</v>
      </c>
      <c r="E199" s="8" t="n">
        <v>18.29</v>
      </c>
      <c r="F199" s="8" t="n">
        <v>90.01</v>
      </c>
      <c r="G199" s="8" t="n">
        <v>0</v>
      </c>
      <c r="H199" s="8" t="n">
        <v>0</v>
      </c>
    </row>
    <row r="200" customFormat="false" ht="15" hidden="false" customHeight="false" outlineLevel="0" collapsed="false">
      <c r="A200" s="7" t="n">
        <v>46238</v>
      </c>
      <c r="B200" s="8" t="n">
        <v>3792</v>
      </c>
      <c r="C200" s="8" t="n">
        <v>2</v>
      </c>
      <c r="D200" s="8" t="n">
        <v>20.32</v>
      </c>
      <c r="E200" s="8" t="n">
        <v>18.29</v>
      </c>
      <c r="F200" s="8" t="n">
        <v>90.01</v>
      </c>
      <c r="G200" s="8" t="n">
        <v>0</v>
      </c>
      <c r="H200" s="8" t="n">
        <v>0</v>
      </c>
    </row>
    <row r="201" customFormat="false" ht="15" hidden="false" customHeight="false" outlineLevel="0" collapsed="false">
      <c r="A201" s="7" t="n">
        <v>46238</v>
      </c>
      <c r="B201" s="8" t="n">
        <v>3765</v>
      </c>
      <c r="C201" s="8" t="n">
        <v>1</v>
      </c>
      <c r="D201" s="8" t="n">
        <v>18.8</v>
      </c>
      <c r="E201" s="8" t="n">
        <v>16.92</v>
      </c>
      <c r="F201" s="8" t="n">
        <v>90</v>
      </c>
      <c r="G201" s="8" t="n">
        <v>0</v>
      </c>
      <c r="H201" s="8" t="n">
        <v>0</v>
      </c>
    </row>
    <row r="202" customFormat="false" ht="15" hidden="false" customHeight="false" outlineLevel="0" collapsed="false">
      <c r="A202" s="7" t="n">
        <v>46238</v>
      </c>
      <c r="B202" s="8" t="n">
        <v>3772</v>
      </c>
      <c r="C202" s="8" t="n">
        <v>1</v>
      </c>
      <c r="D202" s="8" t="n">
        <v>8.37</v>
      </c>
      <c r="E202" s="8" t="n">
        <v>7.53</v>
      </c>
      <c r="F202" s="8" t="n">
        <v>89.96</v>
      </c>
      <c r="G202" s="8" t="n">
        <v>0</v>
      </c>
      <c r="H202" s="8" t="n">
        <v>0</v>
      </c>
    </row>
    <row r="203" customFormat="false" ht="15" hidden="false" customHeight="false" outlineLevel="0" collapsed="false">
      <c r="A203" s="7" t="n">
        <v>46239</v>
      </c>
      <c r="B203" s="8" t="n">
        <v>3784</v>
      </c>
      <c r="C203" s="8" t="n">
        <v>1</v>
      </c>
      <c r="D203" s="8" t="n">
        <v>19.6</v>
      </c>
      <c r="E203" s="8" t="n">
        <v>17.64</v>
      </c>
      <c r="F203" s="8" t="n">
        <v>90</v>
      </c>
      <c r="G203" s="8" t="n">
        <v>0</v>
      </c>
      <c r="H203" s="8" t="n">
        <v>0</v>
      </c>
    </row>
    <row r="204" customFormat="false" ht="15" hidden="false" customHeight="false" outlineLevel="0" collapsed="false">
      <c r="A204" s="7" t="n">
        <v>46239</v>
      </c>
      <c r="B204" s="8" t="n">
        <v>3815</v>
      </c>
      <c r="C204" s="8" t="n">
        <v>1</v>
      </c>
      <c r="D204" s="8" t="n">
        <v>12</v>
      </c>
      <c r="E204" s="8" t="n">
        <v>10.8</v>
      </c>
      <c r="F204" s="8" t="n">
        <v>90</v>
      </c>
      <c r="G204" s="8" t="n">
        <v>0</v>
      </c>
      <c r="H204" s="8" t="n">
        <v>0</v>
      </c>
    </row>
    <row r="205" customFormat="false" ht="15" hidden="false" customHeight="false" outlineLevel="0" collapsed="false">
      <c r="A205" s="7" t="n">
        <v>46239</v>
      </c>
      <c r="B205" s="8" t="n">
        <v>3816</v>
      </c>
      <c r="C205" s="8" t="n">
        <v>2</v>
      </c>
      <c r="D205" s="8" t="n">
        <v>25</v>
      </c>
      <c r="E205" s="8" t="n">
        <v>22.5</v>
      </c>
      <c r="F205" s="8" t="n">
        <v>90</v>
      </c>
      <c r="G205" s="8" t="n">
        <v>0</v>
      </c>
      <c r="H205" s="8" t="n">
        <v>0</v>
      </c>
    </row>
    <row r="206" customFormat="false" ht="15" hidden="false" customHeight="false" outlineLevel="0" collapsed="false">
      <c r="A206" s="7" t="n">
        <v>46239</v>
      </c>
      <c r="B206" s="8" t="n">
        <v>3817</v>
      </c>
      <c r="C206" s="8" t="n">
        <v>3</v>
      </c>
      <c r="D206" s="8" t="n">
        <v>15</v>
      </c>
      <c r="E206" s="8" t="n">
        <v>13.5</v>
      </c>
      <c r="F206" s="8" t="n">
        <v>90</v>
      </c>
      <c r="G206" s="8" t="n">
        <v>0</v>
      </c>
      <c r="H206" s="8" t="n">
        <v>0</v>
      </c>
    </row>
    <row r="207" customFormat="false" ht="15" hidden="false" customHeight="false" outlineLevel="0" collapsed="false">
      <c r="A207" s="7" t="n">
        <v>46239</v>
      </c>
      <c r="B207" s="8" t="n">
        <v>3818</v>
      </c>
      <c r="C207" s="8" t="n">
        <v>4</v>
      </c>
      <c r="D207" s="8" t="n">
        <v>16.1</v>
      </c>
      <c r="E207" s="8" t="n">
        <v>14.49</v>
      </c>
      <c r="F207" s="8" t="n">
        <v>90</v>
      </c>
      <c r="G207" s="8" t="n">
        <v>0</v>
      </c>
      <c r="H207" s="8" t="n">
        <v>0</v>
      </c>
    </row>
    <row r="208" customFormat="false" ht="15" hidden="false" customHeight="false" outlineLevel="0" collapsed="false">
      <c r="A208" s="7" t="n">
        <v>46239</v>
      </c>
      <c r="B208" s="8" t="n">
        <v>3819</v>
      </c>
      <c r="C208" s="8" t="n">
        <v>5</v>
      </c>
      <c r="D208" s="8" t="n">
        <v>16.1</v>
      </c>
      <c r="E208" s="8" t="n">
        <v>14.49</v>
      </c>
      <c r="F208" s="8" t="n">
        <v>90</v>
      </c>
      <c r="G208" s="8" t="n">
        <v>0</v>
      </c>
      <c r="H208" s="8" t="n">
        <v>0</v>
      </c>
    </row>
    <row r="209" customFormat="false" ht="15" hidden="false" customHeight="false" outlineLevel="0" collapsed="false">
      <c r="A209" s="7" t="n">
        <v>46239</v>
      </c>
      <c r="B209" s="8" t="n">
        <v>3820</v>
      </c>
      <c r="C209" s="8" t="n">
        <v>6</v>
      </c>
      <c r="D209" s="8" t="n">
        <v>26.6</v>
      </c>
      <c r="E209" s="8" t="n">
        <v>23.94</v>
      </c>
      <c r="F209" s="8" t="n">
        <v>90</v>
      </c>
      <c r="G209" s="8" t="n">
        <v>0</v>
      </c>
      <c r="H209" s="8" t="n">
        <v>0</v>
      </c>
    </row>
    <row r="210" customFormat="false" ht="15" hidden="false" customHeight="false" outlineLevel="0" collapsed="false">
      <c r="A210" s="7" t="n">
        <v>46239</v>
      </c>
      <c r="B210" s="8" t="n">
        <v>3786</v>
      </c>
      <c r="C210" s="8" t="n">
        <v>1</v>
      </c>
      <c r="D210" s="8" t="n">
        <v>12.57</v>
      </c>
      <c r="E210" s="8" t="n">
        <v>11.31</v>
      </c>
      <c r="F210" s="8" t="n">
        <v>89.98</v>
      </c>
      <c r="G210" s="8" t="n">
        <v>0</v>
      </c>
      <c r="H210" s="8" t="n">
        <v>0</v>
      </c>
    </row>
    <row r="211" customFormat="false" ht="15" hidden="false" customHeight="false" outlineLevel="0" collapsed="false">
      <c r="A211" s="7" t="n">
        <v>46239</v>
      </c>
      <c r="B211" s="8" t="n">
        <v>3787</v>
      </c>
      <c r="C211" s="8" t="n">
        <v>1</v>
      </c>
      <c r="D211" s="8" t="n">
        <v>10.77</v>
      </c>
      <c r="E211" s="8" t="n">
        <v>9.69</v>
      </c>
      <c r="F211" s="8" t="n">
        <v>89.97</v>
      </c>
      <c r="G211" s="8" t="n">
        <v>0</v>
      </c>
      <c r="H211" s="8" t="n">
        <v>0</v>
      </c>
    </row>
    <row r="212" customFormat="false" ht="15" hidden="false" customHeight="false" outlineLevel="0" collapsed="false">
      <c r="A212" s="7" t="n">
        <v>46239</v>
      </c>
      <c r="B212" s="8" t="n">
        <v>3788</v>
      </c>
      <c r="C212" s="8" t="n">
        <v>1</v>
      </c>
      <c r="D212" s="8" t="n">
        <v>18.22</v>
      </c>
      <c r="E212" s="8" t="n">
        <v>16.4</v>
      </c>
      <c r="F212" s="8" t="n">
        <v>90.01</v>
      </c>
      <c r="G212" s="8" t="n">
        <v>0</v>
      </c>
      <c r="H212" s="8" t="n">
        <v>0</v>
      </c>
    </row>
    <row r="213" customFormat="false" ht="15" hidden="false" customHeight="false" outlineLevel="0" collapsed="false">
      <c r="A213" s="7" t="n">
        <v>46239</v>
      </c>
      <c r="B213" s="8" t="n">
        <v>3789</v>
      </c>
      <c r="C213" s="8" t="n">
        <v>2</v>
      </c>
      <c r="D213" s="8" t="n">
        <v>18.21</v>
      </c>
      <c r="E213" s="8" t="n">
        <v>16.39</v>
      </c>
      <c r="F213" s="8" t="n">
        <v>90.01</v>
      </c>
      <c r="G213" s="8" t="n">
        <v>0</v>
      </c>
      <c r="H213" s="8" t="n">
        <v>0</v>
      </c>
    </row>
    <row r="214" customFormat="false" ht="15" hidden="false" customHeight="false" outlineLevel="0" collapsed="false">
      <c r="A214" s="7" t="n">
        <v>46239</v>
      </c>
      <c r="B214" s="8" t="n">
        <v>3790</v>
      </c>
      <c r="C214" s="8" t="n">
        <v>3</v>
      </c>
      <c r="D214" s="8" t="n">
        <v>22.4</v>
      </c>
      <c r="E214" s="8" t="n">
        <v>20.16</v>
      </c>
      <c r="F214" s="8" t="n">
        <v>90</v>
      </c>
      <c r="G214" s="8" t="n">
        <v>0</v>
      </c>
      <c r="H214" s="8" t="n">
        <v>0</v>
      </c>
    </row>
    <row r="215" customFormat="false" ht="15" hidden="false" customHeight="false" outlineLevel="0" collapsed="false">
      <c r="A215" s="7" t="n">
        <v>46239</v>
      </c>
      <c r="B215" s="8" t="n">
        <v>3791</v>
      </c>
      <c r="C215" s="8" t="n">
        <v>4</v>
      </c>
      <c r="D215" s="8" t="n">
        <v>22.4</v>
      </c>
      <c r="E215" s="8" t="n">
        <v>20.16</v>
      </c>
      <c r="F215" s="8" t="n">
        <v>90</v>
      </c>
      <c r="G215" s="8" t="n">
        <v>0</v>
      </c>
      <c r="H215" s="8" t="n">
        <v>0</v>
      </c>
    </row>
    <row r="216" customFormat="false" ht="15" hidden="false" customHeight="false" outlineLevel="0" collapsed="false">
      <c r="A216" s="7" t="n">
        <v>46239</v>
      </c>
      <c r="B216" s="8" t="n">
        <v>3815</v>
      </c>
      <c r="C216" s="8" t="n">
        <v>7</v>
      </c>
      <c r="D216" s="8" t="n">
        <v>18.25</v>
      </c>
      <c r="E216" s="8" t="n">
        <v>16.42</v>
      </c>
      <c r="F216" s="8" t="n">
        <v>89.97</v>
      </c>
      <c r="G216" s="8" t="n">
        <v>0</v>
      </c>
      <c r="H216" s="8" t="n">
        <v>0</v>
      </c>
    </row>
    <row r="217" customFormat="false" ht="15" hidden="false" customHeight="false" outlineLevel="0" collapsed="false">
      <c r="A217" s="7" t="n">
        <v>46239</v>
      </c>
      <c r="B217" s="8" t="n">
        <v>3816</v>
      </c>
      <c r="C217" s="8" t="n">
        <v>8</v>
      </c>
      <c r="D217" s="8" t="n">
        <v>20</v>
      </c>
      <c r="E217" s="8" t="n">
        <v>18</v>
      </c>
      <c r="F217" s="8" t="n">
        <v>90</v>
      </c>
      <c r="G217" s="8" t="n">
        <v>0</v>
      </c>
      <c r="H217" s="8" t="n">
        <v>0</v>
      </c>
    </row>
    <row r="218" customFormat="false" ht="15" hidden="false" customHeight="false" outlineLevel="0" collapsed="false">
      <c r="A218" s="7" t="n">
        <v>46239</v>
      </c>
      <c r="B218" s="8" t="n">
        <v>3817</v>
      </c>
      <c r="C218" s="8" t="n">
        <v>9</v>
      </c>
      <c r="D218" s="8" t="n">
        <v>10</v>
      </c>
      <c r="E218" s="8" t="n">
        <v>9</v>
      </c>
      <c r="F218" s="8" t="n">
        <v>90</v>
      </c>
      <c r="G218" s="8" t="n">
        <v>0</v>
      </c>
      <c r="H218" s="8" t="n">
        <v>0</v>
      </c>
    </row>
    <row r="219" customFormat="false" ht="15" hidden="false" customHeight="false" outlineLevel="0" collapsed="false">
      <c r="A219" s="7" t="n">
        <v>46239</v>
      </c>
      <c r="B219" s="8" t="n">
        <v>3818</v>
      </c>
      <c r="C219" s="8" t="n">
        <v>10</v>
      </c>
      <c r="D219" s="8" t="n">
        <v>10.5</v>
      </c>
      <c r="E219" s="8" t="n">
        <v>9.45</v>
      </c>
      <c r="F219" s="8" t="n">
        <v>90</v>
      </c>
      <c r="G219" s="8" t="n">
        <v>0</v>
      </c>
      <c r="H219" s="8" t="n">
        <v>0</v>
      </c>
    </row>
    <row r="220" customFormat="false" ht="15" hidden="false" customHeight="false" outlineLevel="0" collapsed="false">
      <c r="A220" s="7" t="n">
        <v>46244</v>
      </c>
      <c r="B220" s="8" t="n">
        <v>3789</v>
      </c>
      <c r="C220" s="8" t="n">
        <v>1</v>
      </c>
      <c r="D220" s="8" t="n">
        <v>16.6</v>
      </c>
      <c r="E220" s="8" t="n">
        <v>14.94</v>
      </c>
      <c r="F220" s="8" t="n">
        <v>90</v>
      </c>
      <c r="G220" s="8" t="n">
        <v>0</v>
      </c>
      <c r="H220" s="8" t="n">
        <v>0</v>
      </c>
    </row>
    <row r="221" customFormat="false" ht="15" hidden="false" customHeight="false" outlineLevel="0" collapsed="false">
      <c r="A221" s="7" t="n">
        <v>46244</v>
      </c>
      <c r="B221" s="8" t="n">
        <v>3835</v>
      </c>
      <c r="C221" s="8" t="n">
        <v>1</v>
      </c>
      <c r="D221" s="8" t="n">
        <v>15</v>
      </c>
      <c r="E221" s="8" t="n">
        <v>13.5</v>
      </c>
      <c r="F221" s="8" t="n">
        <v>90</v>
      </c>
      <c r="G221" s="8" t="n">
        <v>0</v>
      </c>
      <c r="H221" s="8" t="n">
        <v>0</v>
      </c>
    </row>
    <row r="222" customFormat="false" ht="15" hidden="false" customHeight="false" outlineLevel="0" collapsed="false">
      <c r="A222" s="7" t="n">
        <v>46244</v>
      </c>
      <c r="B222" s="8" t="n">
        <v>3818</v>
      </c>
      <c r="C222" s="8" t="n">
        <v>1</v>
      </c>
      <c r="D222" s="8" t="n">
        <v>12.12</v>
      </c>
      <c r="E222" s="8" t="n">
        <v>10.91</v>
      </c>
      <c r="F222" s="8" t="n">
        <v>90.02</v>
      </c>
      <c r="G222" s="8" t="n">
        <v>0</v>
      </c>
      <c r="H222" s="8" t="n">
        <v>0</v>
      </c>
    </row>
    <row r="223" customFormat="false" ht="15" hidden="false" customHeight="false" outlineLevel="0" collapsed="false">
      <c r="A223" s="7" t="n">
        <v>46244</v>
      </c>
      <c r="B223" s="8" t="n">
        <v>3813</v>
      </c>
      <c r="C223" s="8" t="n">
        <v>1</v>
      </c>
      <c r="D223" s="8" t="n">
        <v>17.87</v>
      </c>
      <c r="E223" s="8" t="n">
        <v>16.08</v>
      </c>
      <c r="F223" s="8" t="n">
        <v>89.98</v>
      </c>
      <c r="G223" s="8" t="n">
        <v>0</v>
      </c>
      <c r="H223" s="8" t="n">
        <v>0</v>
      </c>
    </row>
    <row r="224" customFormat="false" ht="15" hidden="false" customHeight="false" outlineLevel="0" collapsed="false">
      <c r="A224" s="7" t="n">
        <v>46244</v>
      </c>
      <c r="B224" s="8" t="n">
        <v>3813</v>
      </c>
      <c r="C224" s="8" t="n">
        <v>2</v>
      </c>
      <c r="D224" s="8" t="n">
        <v>17.87</v>
      </c>
      <c r="E224" s="8" t="n">
        <v>16.08</v>
      </c>
      <c r="F224" s="8" t="n">
        <v>89.98</v>
      </c>
      <c r="G224" s="8" t="n">
        <v>0</v>
      </c>
      <c r="H224" s="8" t="n">
        <v>0</v>
      </c>
    </row>
    <row r="225" customFormat="false" ht="15" hidden="false" customHeight="false" outlineLevel="0" collapsed="false">
      <c r="A225" s="7" t="n">
        <v>46244</v>
      </c>
      <c r="B225" s="8" t="n">
        <v>3813</v>
      </c>
      <c r="C225" s="8" t="n">
        <v>3</v>
      </c>
      <c r="D225" s="8" t="n">
        <v>15</v>
      </c>
      <c r="E225" s="8" t="n">
        <v>13.5</v>
      </c>
      <c r="F225" s="8" t="n">
        <v>90</v>
      </c>
      <c r="G225" s="8" t="n">
        <v>0</v>
      </c>
      <c r="H225" s="8" t="n">
        <v>0</v>
      </c>
    </row>
    <row r="226" customFormat="false" ht="15" hidden="false" customHeight="false" outlineLevel="0" collapsed="false">
      <c r="A226" s="7" t="n">
        <v>46244</v>
      </c>
      <c r="B226" s="8" t="n">
        <v>3800</v>
      </c>
      <c r="C226" s="8" t="n">
        <v>1</v>
      </c>
      <c r="D226" s="8" t="n">
        <v>19.16</v>
      </c>
      <c r="E226" s="8" t="n">
        <v>17.24</v>
      </c>
      <c r="F226" s="8" t="n">
        <v>89.98</v>
      </c>
      <c r="G226" s="8" t="n">
        <v>0</v>
      </c>
      <c r="H226" s="8" t="n">
        <v>0</v>
      </c>
    </row>
    <row r="227" customFormat="false" ht="15" hidden="false" customHeight="false" outlineLevel="0" collapsed="false">
      <c r="A227" s="7" t="n">
        <v>46244</v>
      </c>
      <c r="B227" s="8" t="n">
        <v>3800</v>
      </c>
      <c r="C227" s="8" t="n">
        <v>2</v>
      </c>
      <c r="D227" s="8" t="n">
        <v>19.16</v>
      </c>
      <c r="E227" s="8" t="n">
        <v>17.24</v>
      </c>
      <c r="F227" s="8" t="n">
        <v>89.98</v>
      </c>
      <c r="G227" s="8" t="n">
        <v>0</v>
      </c>
      <c r="H227" s="8" t="n">
        <v>0</v>
      </c>
    </row>
    <row r="228" customFormat="false" ht="15" hidden="false" customHeight="false" outlineLevel="0" collapsed="false">
      <c r="A228" s="7" t="n">
        <v>46244</v>
      </c>
      <c r="B228" s="8" t="n">
        <v>3804</v>
      </c>
      <c r="C228" s="8" t="n">
        <v>1</v>
      </c>
      <c r="D228" s="8" t="n">
        <v>15</v>
      </c>
      <c r="E228" s="8" t="n">
        <v>13.5</v>
      </c>
      <c r="F228" s="8" t="n">
        <v>90</v>
      </c>
      <c r="G228" s="8" t="n">
        <v>0</v>
      </c>
      <c r="H228" s="8" t="n">
        <v>0</v>
      </c>
    </row>
    <row r="229" customFormat="false" ht="15" hidden="false" customHeight="false" outlineLevel="0" collapsed="false">
      <c r="A229" s="7" t="n">
        <v>46244</v>
      </c>
      <c r="B229" s="8" t="n">
        <v>3804</v>
      </c>
      <c r="C229" s="8" t="n">
        <v>2</v>
      </c>
      <c r="D229" s="8" t="n">
        <v>15</v>
      </c>
      <c r="E229" s="8" t="n">
        <v>13.5</v>
      </c>
      <c r="F229" s="8" t="n">
        <v>90</v>
      </c>
      <c r="G229" s="8" t="n">
        <v>0</v>
      </c>
      <c r="H229" s="8" t="n">
        <v>0</v>
      </c>
    </row>
    <row r="230" customFormat="false" ht="15" hidden="false" customHeight="false" outlineLevel="0" collapsed="false">
      <c r="A230" s="7" t="n">
        <v>46244</v>
      </c>
      <c r="B230" s="8" t="n">
        <v>3821</v>
      </c>
      <c r="C230" s="8" t="n">
        <v>1</v>
      </c>
      <c r="D230" s="8" t="n">
        <v>25</v>
      </c>
      <c r="E230" s="8" t="n">
        <v>22.5</v>
      </c>
      <c r="F230" s="8" t="n">
        <v>90</v>
      </c>
      <c r="G230" s="8" t="n">
        <v>0</v>
      </c>
      <c r="H230" s="8" t="n">
        <v>0</v>
      </c>
    </row>
    <row r="231" customFormat="false" ht="15" hidden="false" customHeight="false" outlineLevel="0" collapsed="false">
      <c r="A231" s="7" t="n">
        <v>46244</v>
      </c>
      <c r="B231" s="8" t="n">
        <v>3822</v>
      </c>
      <c r="C231" s="8" t="n">
        <v>1</v>
      </c>
      <c r="D231" s="8" t="n">
        <v>25</v>
      </c>
      <c r="E231" s="8" t="n">
        <v>22.5</v>
      </c>
      <c r="F231" s="8" t="n">
        <v>90</v>
      </c>
      <c r="G231" s="8" t="n">
        <v>0</v>
      </c>
      <c r="H231" s="8" t="n">
        <v>0</v>
      </c>
    </row>
    <row r="232" customFormat="false" ht="15" hidden="false" customHeight="false" outlineLevel="0" collapsed="false">
      <c r="A232" s="7" t="n">
        <v>46244</v>
      </c>
      <c r="B232" s="8" t="n">
        <v>3799</v>
      </c>
      <c r="C232" s="8" t="n">
        <v>1</v>
      </c>
      <c r="D232" s="8" t="n">
        <v>15</v>
      </c>
      <c r="E232" s="8" t="n">
        <v>13.5</v>
      </c>
      <c r="F232" s="8" t="n">
        <v>90</v>
      </c>
      <c r="G232" s="8" t="n">
        <v>0</v>
      </c>
      <c r="H232" s="8" t="n">
        <v>0</v>
      </c>
    </row>
    <row r="233" customFormat="false" ht="15" hidden="false" customHeight="false" outlineLevel="0" collapsed="false">
      <c r="A233" s="7" t="n">
        <v>46244</v>
      </c>
      <c r="B233" s="8" t="n">
        <v>3799</v>
      </c>
      <c r="C233" s="8" t="n">
        <v>2</v>
      </c>
      <c r="D233" s="8" t="n">
        <v>19</v>
      </c>
      <c r="E233" s="8" t="n">
        <v>17.1</v>
      </c>
      <c r="F233" s="8" t="n">
        <v>90</v>
      </c>
      <c r="G233" s="8" t="n">
        <v>0</v>
      </c>
      <c r="H233" s="8" t="n">
        <v>0</v>
      </c>
    </row>
    <row r="234" customFormat="false" ht="15" hidden="false" customHeight="false" outlineLevel="0" collapsed="false">
      <c r="A234" s="7" t="n">
        <v>46244</v>
      </c>
      <c r="B234" s="8" t="n">
        <v>3799</v>
      </c>
      <c r="C234" s="8" t="n">
        <v>3</v>
      </c>
      <c r="D234" s="8" t="n">
        <v>19</v>
      </c>
      <c r="E234" s="8" t="n">
        <v>17.1</v>
      </c>
      <c r="F234" s="8" t="n">
        <v>90</v>
      </c>
      <c r="G234" s="8" t="n">
        <v>0</v>
      </c>
      <c r="H234" s="8" t="n">
        <v>0</v>
      </c>
    </row>
    <row r="235" customFormat="false" ht="15" hidden="false" customHeight="false" outlineLevel="0" collapsed="false">
      <c r="A235" s="7" t="n">
        <v>46244</v>
      </c>
      <c r="B235" s="8" t="n">
        <v>3799</v>
      </c>
      <c r="C235" s="8" t="n">
        <v>4</v>
      </c>
      <c r="D235" s="8" t="n">
        <v>12</v>
      </c>
      <c r="E235" s="8" t="n">
        <v>10.8</v>
      </c>
      <c r="F235" s="8" t="n">
        <v>90</v>
      </c>
      <c r="G235" s="8" t="n">
        <v>0</v>
      </c>
      <c r="H235" s="8" t="n">
        <v>0</v>
      </c>
    </row>
    <row r="236" customFormat="false" ht="15" hidden="false" customHeight="false" outlineLevel="0" collapsed="false">
      <c r="A236" s="7" t="n">
        <v>46244</v>
      </c>
      <c r="B236" s="8" t="n">
        <v>3810</v>
      </c>
      <c r="C236" s="8" t="n">
        <v>1</v>
      </c>
      <c r="D236" s="8" t="n">
        <v>14.12</v>
      </c>
      <c r="E236" s="8" t="n">
        <v>12.71</v>
      </c>
      <c r="F236" s="8" t="n">
        <v>90.01</v>
      </c>
      <c r="G236" s="8" t="n">
        <v>0</v>
      </c>
      <c r="H236" s="8" t="n">
        <v>0</v>
      </c>
    </row>
    <row r="237" customFormat="false" ht="15" hidden="false" customHeight="false" outlineLevel="0" collapsed="false">
      <c r="A237" s="7" t="n">
        <v>46244</v>
      </c>
      <c r="B237" s="8" t="n">
        <v>3741</v>
      </c>
      <c r="C237" s="8" t="n">
        <v>1</v>
      </c>
      <c r="D237" s="8" t="n">
        <v>25</v>
      </c>
      <c r="E237" s="8" t="n">
        <v>22.5</v>
      </c>
      <c r="F237" s="8" t="n">
        <v>90</v>
      </c>
      <c r="G237" s="8" t="n">
        <v>0</v>
      </c>
      <c r="H237" s="8" t="n">
        <v>0</v>
      </c>
    </row>
    <row r="238" customFormat="false" ht="15" hidden="false" customHeight="false" outlineLevel="0" collapsed="false">
      <c r="A238" s="7" t="n">
        <v>46245</v>
      </c>
      <c r="B238" s="8" t="n">
        <v>3741</v>
      </c>
      <c r="C238" s="8" t="n">
        <v>1</v>
      </c>
      <c r="D238" s="8" t="n">
        <v>25</v>
      </c>
      <c r="E238" s="8" t="n">
        <v>22.5</v>
      </c>
      <c r="F238" s="8" t="n">
        <v>90</v>
      </c>
      <c r="G238" s="8" t="n">
        <v>0</v>
      </c>
      <c r="H238" s="8" t="n">
        <v>0</v>
      </c>
    </row>
    <row r="239" customFormat="false" ht="15" hidden="false" customHeight="false" outlineLevel="0" collapsed="false">
      <c r="A239" s="7" t="n">
        <v>46245</v>
      </c>
      <c r="B239" s="8" t="n">
        <v>3795</v>
      </c>
      <c r="C239" s="8" t="n">
        <v>1</v>
      </c>
      <c r="D239" s="8" t="n">
        <v>16.7</v>
      </c>
      <c r="E239" s="8" t="n">
        <v>15.03</v>
      </c>
      <c r="F239" s="8" t="n">
        <v>90</v>
      </c>
      <c r="G239" s="8" t="n">
        <v>0</v>
      </c>
      <c r="H239" s="8" t="n">
        <v>0</v>
      </c>
    </row>
    <row r="240" customFormat="false" ht="15" hidden="false" customHeight="false" outlineLevel="0" collapsed="false">
      <c r="A240" s="7" t="n">
        <v>46245</v>
      </c>
      <c r="B240" s="8" t="n">
        <v>3741</v>
      </c>
      <c r="C240" s="8" t="n">
        <v>1</v>
      </c>
      <c r="D240" s="8" t="n">
        <v>24</v>
      </c>
      <c r="E240" s="8" t="n">
        <v>21.6</v>
      </c>
      <c r="F240" s="8" t="n">
        <v>90</v>
      </c>
      <c r="G240" s="8" t="n">
        <v>0</v>
      </c>
      <c r="H240" s="8" t="n">
        <v>0</v>
      </c>
    </row>
    <row r="241" customFormat="false" ht="15" hidden="false" customHeight="false" outlineLevel="0" collapsed="false">
      <c r="A241" s="7" t="n">
        <v>46245</v>
      </c>
      <c r="B241" s="8" t="n">
        <v>3821</v>
      </c>
      <c r="C241" s="8" t="n">
        <v>1</v>
      </c>
      <c r="D241" s="8" t="n">
        <v>25</v>
      </c>
      <c r="E241" s="8" t="n">
        <v>22.5</v>
      </c>
      <c r="F241" s="8" t="n">
        <v>90</v>
      </c>
      <c r="G241" s="8" t="n">
        <v>0</v>
      </c>
      <c r="H241" s="8" t="n">
        <v>0</v>
      </c>
    </row>
    <row r="242" customFormat="false" ht="15" hidden="false" customHeight="false" outlineLevel="0" collapsed="false">
      <c r="A242" s="7" t="n">
        <v>46245</v>
      </c>
      <c r="B242" s="8" t="n">
        <v>3823</v>
      </c>
      <c r="C242" s="8" t="n">
        <v>1</v>
      </c>
      <c r="D242" s="8" t="n">
        <v>19</v>
      </c>
      <c r="E242" s="8" t="n">
        <v>17.1</v>
      </c>
      <c r="F242" s="8" t="n">
        <v>90</v>
      </c>
      <c r="G242" s="8" t="n">
        <v>0</v>
      </c>
      <c r="H242" s="8" t="n">
        <v>0</v>
      </c>
    </row>
    <row r="243" customFormat="false" ht="15" hidden="false" customHeight="false" outlineLevel="0" collapsed="false">
      <c r="A243" s="7" t="n">
        <v>46245</v>
      </c>
      <c r="B243" s="8" t="n">
        <v>3820</v>
      </c>
      <c r="C243" s="8" t="n">
        <v>2</v>
      </c>
      <c r="D243" s="8" t="n">
        <v>5.78</v>
      </c>
      <c r="E243" s="8" t="n">
        <v>5.2</v>
      </c>
      <c r="F243" s="8" t="n">
        <v>89.97</v>
      </c>
      <c r="G243" s="8" t="n">
        <v>0</v>
      </c>
      <c r="H243" s="8" t="n">
        <v>0</v>
      </c>
    </row>
    <row r="244" customFormat="false" ht="15" hidden="false" customHeight="false" outlineLevel="0" collapsed="false">
      <c r="A244" s="7" t="n">
        <v>46245</v>
      </c>
      <c r="B244" s="8" t="n">
        <v>3790</v>
      </c>
      <c r="C244" s="8" t="n">
        <v>1</v>
      </c>
      <c r="D244" s="8" t="n">
        <v>12</v>
      </c>
      <c r="E244" s="8" t="n">
        <v>10.8</v>
      </c>
      <c r="F244" s="8" t="n">
        <v>90</v>
      </c>
      <c r="G244" s="8" t="n">
        <v>0</v>
      </c>
      <c r="H244" s="8" t="n">
        <v>0</v>
      </c>
    </row>
    <row r="245" customFormat="false" ht="15" hidden="false" customHeight="false" outlineLevel="0" collapsed="false">
      <c r="A245" s="7" t="n">
        <v>46245</v>
      </c>
      <c r="B245" s="8" t="n">
        <v>3801</v>
      </c>
      <c r="C245" s="8" t="n">
        <v>1</v>
      </c>
      <c r="D245" s="8" t="n">
        <v>16.52</v>
      </c>
      <c r="E245" s="8" t="n">
        <v>14.87</v>
      </c>
      <c r="F245" s="8" t="n">
        <v>90.01</v>
      </c>
      <c r="G245" s="8" t="n">
        <v>0</v>
      </c>
      <c r="H245" s="8" t="n">
        <v>0</v>
      </c>
    </row>
    <row r="246" customFormat="false" ht="15" hidden="false" customHeight="false" outlineLevel="0" collapsed="false">
      <c r="A246" s="7" t="n">
        <v>46245</v>
      </c>
      <c r="B246" s="8" t="n">
        <v>3812</v>
      </c>
      <c r="C246" s="8" t="n">
        <v>1</v>
      </c>
      <c r="D246" s="8" t="n">
        <v>17.42</v>
      </c>
      <c r="E246" s="8" t="n">
        <v>15.68</v>
      </c>
      <c r="F246" s="8" t="n">
        <v>90.01</v>
      </c>
      <c r="G246" s="8" t="n">
        <v>0</v>
      </c>
      <c r="H246" s="8" t="n">
        <v>0</v>
      </c>
    </row>
    <row r="247" customFormat="false" ht="15" hidden="false" customHeight="false" outlineLevel="0" collapsed="false">
      <c r="A247" s="7" t="n">
        <v>46245</v>
      </c>
      <c r="B247" s="8" t="n">
        <v>3812</v>
      </c>
      <c r="C247" s="8" t="n">
        <v>2</v>
      </c>
      <c r="D247" s="8" t="n">
        <v>17.42</v>
      </c>
      <c r="E247" s="8" t="n">
        <v>15.68</v>
      </c>
      <c r="F247" s="8" t="n">
        <v>90.01</v>
      </c>
      <c r="G247" s="8" t="n">
        <v>0</v>
      </c>
      <c r="H247" s="8" t="n">
        <v>0</v>
      </c>
    </row>
    <row r="248" customFormat="false" ht="15" hidden="false" customHeight="false" outlineLevel="0" collapsed="false">
      <c r="A248" s="7" t="n">
        <v>46245</v>
      </c>
      <c r="B248" s="8" t="n">
        <v>3802</v>
      </c>
      <c r="C248" s="8" t="n">
        <v>1</v>
      </c>
      <c r="D248" s="8" t="n">
        <v>17.13</v>
      </c>
      <c r="E248" s="8" t="n">
        <v>15.42</v>
      </c>
      <c r="F248" s="8" t="n">
        <v>90.02</v>
      </c>
      <c r="G248" s="8" t="n">
        <v>0</v>
      </c>
      <c r="H248" s="8" t="n">
        <v>0</v>
      </c>
    </row>
    <row r="249" customFormat="false" ht="15" hidden="false" customHeight="false" outlineLevel="0" collapsed="false">
      <c r="A249" s="7" t="n">
        <v>46245</v>
      </c>
      <c r="B249" s="8" t="n">
        <v>3802</v>
      </c>
      <c r="C249" s="8" t="n">
        <v>2</v>
      </c>
      <c r="D249" s="8" t="n">
        <v>17.13</v>
      </c>
      <c r="E249" s="8" t="n">
        <v>15.42</v>
      </c>
      <c r="F249" s="8" t="n">
        <v>90.02</v>
      </c>
      <c r="G249" s="8" t="n">
        <v>0</v>
      </c>
      <c r="H249" s="8" t="n">
        <v>0</v>
      </c>
    </row>
    <row r="250" customFormat="false" ht="15" hidden="false" customHeight="false" outlineLevel="0" collapsed="false">
      <c r="A250" s="7" t="n">
        <v>46245</v>
      </c>
      <c r="B250" s="8" t="n">
        <v>3803</v>
      </c>
      <c r="C250" s="8" t="n">
        <v>2</v>
      </c>
      <c r="D250" s="8" t="n">
        <v>22</v>
      </c>
      <c r="E250" s="8" t="n">
        <v>19.8</v>
      </c>
      <c r="F250" s="8" t="n">
        <v>90</v>
      </c>
      <c r="G250" s="8" t="n">
        <v>0</v>
      </c>
      <c r="H250" s="8" t="n">
        <v>0</v>
      </c>
    </row>
    <row r="251" customFormat="false" ht="15" hidden="false" customHeight="false" outlineLevel="0" collapsed="false">
      <c r="A251" s="7" t="n">
        <v>46245</v>
      </c>
      <c r="B251" s="8" t="n">
        <v>3846</v>
      </c>
      <c r="C251" s="8" t="n">
        <v>1</v>
      </c>
      <c r="D251" s="8" t="n">
        <v>26</v>
      </c>
      <c r="E251" s="8" t="n">
        <v>23.4</v>
      </c>
      <c r="F251" s="8" t="n">
        <v>90</v>
      </c>
      <c r="G251" s="8" t="n">
        <v>0</v>
      </c>
      <c r="H251" s="8" t="n">
        <v>0</v>
      </c>
    </row>
    <row r="252" customFormat="false" ht="15" hidden="false" customHeight="false" outlineLevel="0" collapsed="false">
      <c r="A252" s="7" t="n">
        <v>46245</v>
      </c>
      <c r="B252" s="8" t="n">
        <v>3806</v>
      </c>
      <c r="C252" s="8" t="n">
        <v>1</v>
      </c>
      <c r="D252" s="8" t="n">
        <v>16</v>
      </c>
      <c r="E252" s="8" t="n">
        <v>14.4</v>
      </c>
      <c r="F252" s="8" t="n">
        <v>90</v>
      </c>
      <c r="G252" s="8" t="n">
        <v>0</v>
      </c>
      <c r="H252" s="8" t="n">
        <v>0</v>
      </c>
    </row>
    <row r="253" customFormat="false" ht="15" hidden="false" customHeight="false" outlineLevel="0" collapsed="false">
      <c r="A253" s="7" t="n">
        <v>46245</v>
      </c>
      <c r="B253" s="8" t="n">
        <v>3807</v>
      </c>
      <c r="C253" s="8" t="n">
        <v>1</v>
      </c>
      <c r="D253" s="8" t="n">
        <v>21.44</v>
      </c>
      <c r="E253" s="8" t="n">
        <v>19.3</v>
      </c>
      <c r="F253" s="8" t="n">
        <v>90.02</v>
      </c>
      <c r="G253" s="8" t="n">
        <v>0</v>
      </c>
      <c r="H253" s="8" t="n">
        <v>0</v>
      </c>
    </row>
    <row r="254" customFormat="false" ht="15" hidden="false" customHeight="false" outlineLevel="0" collapsed="false">
      <c r="A254" s="7" t="n">
        <v>46245</v>
      </c>
      <c r="B254" s="8" t="n">
        <v>3807</v>
      </c>
      <c r="C254" s="8" t="n">
        <v>2</v>
      </c>
      <c r="D254" s="8" t="n">
        <v>21.44</v>
      </c>
      <c r="E254" s="8" t="n">
        <v>19.3</v>
      </c>
      <c r="F254" s="8" t="n">
        <v>90.02</v>
      </c>
      <c r="G254" s="8" t="n">
        <v>0</v>
      </c>
      <c r="H254" s="8" t="n">
        <v>0</v>
      </c>
    </row>
    <row r="255" customFormat="false" ht="15" hidden="false" customHeight="false" outlineLevel="0" collapsed="false">
      <c r="A255" s="7" t="n">
        <v>46245</v>
      </c>
      <c r="B255" s="8" t="n">
        <v>3807</v>
      </c>
      <c r="C255" s="8" t="n">
        <v>3</v>
      </c>
      <c r="D255" s="8" t="n">
        <v>21.44</v>
      </c>
      <c r="E255" s="8" t="n">
        <v>19.3</v>
      </c>
      <c r="F255" s="8" t="n">
        <v>90.02</v>
      </c>
      <c r="G255" s="8" t="n">
        <v>0</v>
      </c>
      <c r="H255" s="8" t="n">
        <v>0</v>
      </c>
    </row>
    <row r="256" customFormat="false" ht="15" hidden="false" customHeight="false" outlineLevel="0" collapsed="false">
      <c r="A256" s="7" t="n">
        <v>46245</v>
      </c>
      <c r="B256" s="8" t="n">
        <v>3807</v>
      </c>
      <c r="C256" s="8" t="n">
        <v>4</v>
      </c>
      <c r="D256" s="8" t="n">
        <v>12.62</v>
      </c>
      <c r="E256" s="8" t="n">
        <v>11.36</v>
      </c>
      <c r="F256" s="8" t="n">
        <v>90.02</v>
      </c>
      <c r="G256" s="8" t="n">
        <v>0</v>
      </c>
      <c r="H256" s="8" t="n">
        <v>0</v>
      </c>
    </row>
    <row r="257" customFormat="false" ht="15" hidden="false" customHeight="false" outlineLevel="0" collapsed="false">
      <c r="A257" s="7" t="n">
        <v>46245</v>
      </c>
      <c r="B257" s="8" t="n">
        <v>3846</v>
      </c>
      <c r="C257" s="8" t="n">
        <v>3</v>
      </c>
      <c r="D257" s="8" t="n">
        <v>15</v>
      </c>
      <c r="E257" s="8" t="n">
        <v>13.5</v>
      </c>
      <c r="F257" s="8" t="n">
        <v>90</v>
      </c>
      <c r="G257" s="8" t="n">
        <v>0</v>
      </c>
      <c r="H257" s="8" t="n">
        <v>0</v>
      </c>
    </row>
    <row r="258" customFormat="false" ht="15" hidden="false" customHeight="false" outlineLevel="0" collapsed="false">
      <c r="A258" s="7" t="n">
        <v>46246</v>
      </c>
      <c r="B258" s="8" t="n">
        <v>3829</v>
      </c>
      <c r="C258" s="8" t="n">
        <v>1</v>
      </c>
      <c r="D258" s="8" t="n">
        <v>15</v>
      </c>
      <c r="E258" s="8" t="n">
        <v>13.5</v>
      </c>
      <c r="F258" s="8" t="n">
        <v>90</v>
      </c>
      <c r="G258" s="8" t="n">
        <v>0</v>
      </c>
      <c r="H258" s="8" t="n">
        <v>0</v>
      </c>
    </row>
    <row r="259" customFormat="false" ht="15" hidden="false" customHeight="false" outlineLevel="0" collapsed="false">
      <c r="A259" s="7" t="n">
        <v>46246</v>
      </c>
      <c r="B259" s="8" t="n">
        <v>3826</v>
      </c>
      <c r="C259" s="8" t="n">
        <v>1</v>
      </c>
      <c r="D259" s="8" t="n">
        <v>24.6</v>
      </c>
      <c r="E259" s="8" t="n">
        <v>22.14</v>
      </c>
      <c r="F259" s="8" t="n">
        <v>90</v>
      </c>
      <c r="G259" s="8" t="n">
        <v>0</v>
      </c>
      <c r="H259" s="8" t="n">
        <v>0</v>
      </c>
    </row>
    <row r="260" customFormat="false" ht="15" hidden="false" customHeight="false" outlineLevel="0" collapsed="false">
      <c r="A260" s="7" t="n">
        <v>46246</v>
      </c>
      <c r="B260" s="8" t="n">
        <v>3826</v>
      </c>
      <c r="C260" s="8" t="n">
        <v>2</v>
      </c>
      <c r="D260" s="8" t="n">
        <v>24.6</v>
      </c>
      <c r="E260" s="8" t="n">
        <v>22.14</v>
      </c>
      <c r="F260" s="8" t="n">
        <v>90</v>
      </c>
      <c r="G260" s="8" t="n">
        <v>0</v>
      </c>
      <c r="H260" s="8" t="n">
        <v>0</v>
      </c>
    </row>
    <row r="261" customFormat="false" ht="15" hidden="false" customHeight="false" outlineLevel="0" collapsed="false">
      <c r="A261" s="7" t="n">
        <v>46246</v>
      </c>
      <c r="B261" s="8" t="n">
        <v>3808</v>
      </c>
      <c r="C261" s="8" t="n">
        <v>1</v>
      </c>
      <c r="D261" s="8" t="n">
        <v>26.2</v>
      </c>
      <c r="E261" s="8" t="n">
        <v>23.58</v>
      </c>
      <c r="F261" s="8" t="n">
        <v>90</v>
      </c>
      <c r="G261" s="8" t="n">
        <v>0</v>
      </c>
      <c r="H261" s="8" t="n">
        <v>0</v>
      </c>
    </row>
    <row r="262" customFormat="false" ht="15" hidden="false" customHeight="false" outlineLevel="0" collapsed="false">
      <c r="A262" s="7" t="n">
        <v>46246</v>
      </c>
      <c r="B262" s="8" t="n">
        <v>3808</v>
      </c>
      <c r="C262" s="8" t="n">
        <v>2</v>
      </c>
      <c r="D262" s="8" t="n">
        <v>8.32</v>
      </c>
      <c r="E262" s="8" t="n">
        <v>7.49</v>
      </c>
      <c r="F262" s="8" t="n">
        <v>90.02</v>
      </c>
      <c r="G262" s="8" t="n">
        <v>0</v>
      </c>
      <c r="H262" s="8" t="n">
        <v>0</v>
      </c>
    </row>
    <row r="263" customFormat="false" ht="15" hidden="false" customHeight="false" outlineLevel="0" collapsed="false">
      <c r="A263" s="7" t="n">
        <v>46246</v>
      </c>
      <c r="B263" s="8" t="n">
        <v>3811</v>
      </c>
      <c r="C263" s="8" t="n">
        <v>1</v>
      </c>
      <c r="D263" s="8" t="n">
        <v>22.15</v>
      </c>
      <c r="E263" s="8" t="n">
        <v>19.93</v>
      </c>
      <c r="F263" s="8" t="n">
        <v>89.98</v>
      </c>
      <c r="G263" s="8" t="n">
        <v>0</v>
      </c>
      <c r="H263" s="8" t="n">
        <v>0</v>
      </c>
    </row>
    <row r="264" customFormat="false" ht="15" hidden="false" customHeight="false" outlineLevel="0" collapsed="false">
      <c r="A264" s="7" t="n">
        <v>46246</v>
      </c>
      <c r="B264" s="8" t="n">
        <v>3811</v>
      </c>
      <c r="C264" s="8" t="n">
        <v>2</v>
      </c>
      <c r="D264" s="8" t="n">
        <v>13.6</v>
      </c>
      <c r="E264" s="8" t="n">
        <v>12.24</v>
      </c>
      <c r="F264" s="8" t="n">
        <v>90</v>
      </c>
      <c r="G264" s="8" t="n">
        <v>0</v>
      </c>
      <c r="H264" s="8" t="n">
        <v>0</v>
      </c>
    </row>
    <row r="265" customFormat="false" ht="15" hidden="false" customHeight="false" outlineLevel="0" collapsed="false">
      <c r="A265" s="7" t="n">
        <v>46246</v>
      </c>
      <c r="B265" s="8" t="n">
        <v>3824</v>
      </c>
      <c r="C265" s="8" t="n">
        <v>1</v>
      </c>
      <c r="D265" s="8" t="n">
        <v>23</v>
      </c>
      <c r="E265" s="8" t="n">
        <v>20.7</v>
      </c>
      <c r="F265" s="8" t="n">
        <v>90</v>
      </c>
      <c r="G265" s="8" t="n">
        <v>0</v>
      </c>
      <c r="H265" s="8" t="n">
        <v>0</v>
      </c>
    </row>
    <row r="266" customFormat="false" ht="15" hidden="false" customHeight="false" outlineLevel="0" collapsed="false">
      <c r="A266" s="7" t="n">
        <v>46246</v>
      </c>
      <c r="B266" s="8" t="n">
        <v>3796</v>
      </c>
      <c r="C266" s="8" t="n">
        <v>1</v>
      </c>
      <c r="D266" s="8" t="n">
        <v>16</v>
      </c>
      <c r="E266" s="8" t="n">
        <v>14.4</v>
      </c>
      <c r="F266" s="8" t="n">
        <v>90</v>
      </c>
      <c r="G266" s="8" t="n">
        <v>0</v>
      </c>
      <c r="H266" s="8" t="n">
        <v>0</v>
      </c>
    </row>
    <row r="267" customFormat="false" ht="15" hidden="false" customHeight="false" outlineLevel="0" collapsed="false">
      <c r="A267" s="7" t="n">
        <v>46246</v>
      </c>
      <c r="B267" s="8" t="n">
        <v>3838</v>
      </c>
      <c r="C267" s="8" t="n">
        <v>1</v>
      </c>
      <c r="D267" s="8" t="n">
        <v>22.33</v>
      </c>
      <c r="E267" s="8" t="n">
        <v>20.1</v>
      </c>
      <c r="F267" s="8" t="n">
        <v>90.01</v>
      </c>
      <c r="G267" s="8" t="n">
        <v>0</v>
      </c>
      <c r="H267" s="8" t="n">
        <v>0</v>
      </c>
    </row>
    <row r="268" customFormat="false" ht="15" hidden="false" customHeight="false" outlineLevel="0" collapsed="false">
      <c r="A268" s="7" t="n">
        <v>46246</v>
      </c>
      <c r="B268" s="8" t="n">
        <v>3838</v>
      </c>
      <c r="C268" s="8" t="n">
        <v>2</v>
      </c>
      <c r="D268" s="8" t="n">
        <v>22.33</v>
      </c>
      <c r="E268" s="8" t="n">
        <v>20.1</v>
      </c>
      <c r="F268" s="8" t="n">
        <v>90.01</v>
      </c>
      <c r="G268" s="8" t="n">
        <v>0</v>
      </c>
      <c r="H268" s="8" t="n">
        <v>0</v>
      </c>
    </row>
    <row r="269" customFormat="false" ht="15" hidden="false" customHeight="false" outlineLevel="0" collapsed="false">
      <c r="A269" s="7" t="n">
        <v>46246</v>
      </c>
      <c r="B269" s="8" t="n">
        <v>3838</v>
      </c>
      <c r="C269" s="8" t="n">
        <v>3</v>
      </c>
      <c r="D269" s="8" t="n">
        <v>22.33</v>
      </c>
      <c r="E269" s="8" t="n">
        <v>20.1</v>
      </c>
      <c r="F269" s="8" t="n">
        <v>90.01</v>
      </c>
      <c r="G269" s="8" t="n">
        <v>0</v>
      </c>
      <c r="H269" s="8" t="n">
        <v>0</v>
      </c>
    </row>
    <row r="270" customFormat="false" ht="15" hidden="false" customHeight="false" outlineLevel="0" collapsed="false">
      <c r="A270" s="7" t="n">
        <v>46246</v>
      </c>
      <c r="B270" s="8" t="n">
        <v>3823</v>
      </c>
      <c r="C270" s="8" t="n">
        <v>1</v>
      </c>
      <c r="D270" s="8" t="n">
        <v>25</v>
      </c>
      <c r="E270" s="8" t="n">
        <v>22.5</v>
      </c>
      <c r="F270" s="8" t="n">
        <v>90</v>
      </c>
      <c r="G270" s="8" t="n">
        <v>0</v>
      </c>
      <c r="H270" s="8" t="n">
        <v>0</v>
      </c>
    </row>
    <row r="271" customFormat="false" ht="15" hidden="false" customHeight="false" outlineLevel="0" collapsed="false">
      <c r="A271" s="7" t="n">
        <v>46246</v>
      </c>
      <c r="B271" s="8" t="n">
        <v>3823</v>
      </c>
      <c r="C271" s="8" t="n">
        <v>2</v>
      </c>
      <c r="D271" s="8" t="n">
        <v>19.65</v>
      </c>
      <c r="E271" s="8" t="n">
        <v>17.68</v>
      </c>
      <c r="F271" s="8" t="n">
        <v>89.97</v>
      </c>
      <c r="G271" s="8" t="n">
        <v>0</v>
      </c>
      <c r="H271" s="8" t="n">
        <v>0</v>
      </c>
    </row>
    <row r="272" customFormat="false" ht="15" hidden="false" customHeight="false" outlineLevel="0" collapsed="false">
      <c r="A272" s="7" t="n">
        <v>46246</v>
      </c>
      <c r="B272" s="8" t="n">
        <v>3828</v>
      </c>
      <c r="C272" s="8" t="n">
        <v>1</v>
      </c>
      <c r="D272" s="8" t="n">
        <v>18.85</v>
      </c>
      <c r="E272" s="8" t="n">
        <v>16.97</v>
      </c>
      <c r="F272" s="8" t="n">
        <v>90.03</v>
      </c>
      <c r="G272" s="8" t="n">
        <v>0</v>
      </c>
      <c r="H272" s="8" t="n">
        <v>0</v>
      </c>
    </row>
    <row r="273" customFormat="false" ht="15" hidden="false" customHeight="false" outlineLevel="0" collapsed="false">
      <c r="A273" s="7" t="n">
        <v>46246</v>
      </c>
      <c r="B273" s="8" t="n">
        <v>3832</v>
      </c>
      <c r="C273" s="8" t="n">
        <v>1</v>
      </c>
      <c r="D273" s="8" t="n">
        <v>12.5</v>
      </c>
      <c r="E273" s="8" t="n">
        <v>11.25</v>
      </c>
      <c r="F273" s="8" t="n">
        <v>90</v>
      </c>
      <c r="G273" s="8" t="n">
        <v>0</v>
      </c>
      <c r="H273" s="8" t="n">
        <v>0</v>
      </c>
    </row>
    <row r="274" customFormat="false" ht="15" hidden="false" customHeight="false" outlineLevel="0" collapsed="false">
      <c r="A274" s="7" t="n">
        <v>46246</v>
      </c>
      <c r="B274" s="8" t="n">
        <v>3834</v>
      </c>
      <c r="C274" s="8" t="n">
        <v>1</v>
      </c>
      <c r="D274" s="8" t="n">
        <v>5</v>
      </c>
      <c r="E274" s="8" t="n">
        <v>4.5</v>
      </c>
      <c r="F274" s="8" t="n">
        <v>90</v>
      </c>
      <c r="G274" s="8" t="n">
        <v>0</v>
      </c>
      <c r="H274" s="8" t="n">
        <v>0</v>
      </c>
    </row>
    <row r="275" customFormat="false" ht="15" hidden="false" customHeight="false" outlineLevel="0" collapsed="false">
      <c r="A275" s="7" t="n">
        <v>46246</v>
      </c>
      <c r="B275" s="8" t="n">
        <v>3855</v>
      </c>
      <c r="C275" s="8" t="n">
        <v>1</v>
      </c>
      <c r="D275" s="8" t="n">
        <v>30.4</v>
      </c>
      <c r="E275" s="8" t="n">
        <v>27.36</v>
      </c>
      <c r="F275" s="8" t="n">
        <v>90</v>
      </c>
      <c r="G275" s="8" t="n">
        <v>0</v>
      </c>
      <c r="H275" s="8" t="n">
        <v>0</v>
      </c>
    </row>
    <row r="276" customFormat="false" ht="15" hidden="false" customHeight="false" outlineLevel="0" collapsed="false">
      <c r="A276" s="7" t="n">
        <v>46246</v>
      </c>
      <c r="B276" s="8" t="n">
        <v>3855</v>
      </c>
      <c r="C276" s="8" t="n">
        <v>2</v>
      </c>
      <c r="D276" s="8" t="n">
        <v>18.5</v>
      </c>
      <c r="E276" s="8" t="n">
        <v>16.65</v>
      </c>
      <c r="F276" s="8" t="n">
        <v>90</v>
      </c>
      <c r="G276" s="8" t="n">
        <v>0</v>
      </c>
      <c r="H276" s="8" t="n">
        <v>0</v>
      </c>
    </row>
    <row r="277" customFormat="false" ht="15" hidden="false" customHeight="false" outlineLevel="0" collapsed="false">
      <c r="A277" s="7" t="n">
        <v>46247</v>
      </c>
      <c r="B277" s="8" t="n">
        <v>3856</v>
      </c>
      <c r="C277" s="8" t="n">
        <v>1</v>
      </c>
      <c r="D277" s="8" t="n">
        <v>20</v>
      </c>
      <c r="E277" s="8" t="n">
        <v>18</v>
      </c>
      <c r="F277" s="8" t="n">
        <v>90</v>
      </c>
      <c r="G277" s="8" t="n">
        <v>0</v>
      </c>
      <c r="H277" s="8" t="n">
        <v>0</v>
      </c>
    </row>
    <row r="278" customFormat="false" ht="15" hidden="false" customHeight="false" outlineLevel="0" collapsed="false">
      <c r="A278" s="7" t="n">
        <v>46247</v>
      </c>
      <c r="B278" s="8" t="n">
        <v>3856</v>
      </c>
      <c r="C278" s="8" t="n">
        <v>2</v>
      </c>
      <c r="D278" s="8" t="n">
        <v>20</v>
      </c>
      <c r="E278" s="8" t="n">
        <v>18</v>
      </c>
      <c r="F278" s="8" t="n">
        <v>90</v>
      </c>
      <c r="G278" s="8" t="n">
        <v>0</v>
      </c>
      <c r="H278" s="8" t="n">
        <v>0</v>
      </c>
    </row>
    <row r="279" customFormat="false" ht="15" hidden="false" customHeight="false" outlineLevel="0" collapsed="false">
      <c r="A279" s="7" t="n">
        <v>46247</v>
      </c>
      <c r="B279" s="8" t="n">
        <v>3856</v>
      </c>
      <c r="C279" s="8" t="n">
        <v>3</v>
      </c>
      <c r="D279" s="8" t="n">
        <v>20</v>
      </c>
      <c r="E279" s="8" t="n">
        <v>18</v>
      </c>
      <c r="F279" s="8" t="n">
        <v>90</v>
      </c>
      <c r="G279" s="8" t="n">
        <v>0</v>
      </c>
      <c r="H279" s="8" t="n">
        <v>0</v>
      </c>
    </row>
    <row r="280" customFormat="false" ht="15" hidden="false" customHeight="false" outlineLevel="0" collapsed="false">
      <c r="A280" s="7" t="n">
        <v>46247</v>
      </c>
      <c r="B280" s="8" t="n">
        <v>3822</v>
      </c>
      <c r="C280" s="8" t="n">
        <v>1</v>
      </c>
      <c r="D280" s="8" t="n">
        <v>21</v>
      </c>
      <c r="E280" s="8" t="n">
        <v>18.9</v>
      </c>
      <c r="F280" s="8" t="n">
        <v>90</v>
      </c>
      <c r="G280" s="8" t="n">
        <v>0</v>
      </c>
      <c r="H280" s="8" t="n">
        <v>0</v>
      </c>
    </row>
    <row r="281" customFormat="false" ht="15" hidden="false" customHeight="false" outlineLevel="0" collapsed="false">
      <c r="A281" s="7" t="n">
        <v>46247</v>
      </c>
      <c r="B281" s="8" t="n">
        <v>3840</v>
      </c>
      <c r="C281" s="8" t="n">
        <v>1</v>
      </c>
      <c r="D281" s="8" t="n">
        <v>8.4</v>
      </c>
      <c r="E281" s="8" t="n">
        <v>7.56</v>
      </c>
      <c r="F281" s="8" t="n">
        <v>90</v>
      </c>
      <c r="G281" s="8" t="n">
        <v>0</v>
      </c>
      <c r="H281" s="8" t="n">
        <v>0</v>
      </c>
    </row>
    <row r="282" customFormat="false" ht="15" hidden="false" customHeight="false" outlineLevel="0" collapsed="false">
      <c r="A282" s="7" t="n">
        <v>46247</v>
      </c>
      <c r="B282" s="8" t="n">
        <v>3845</v>
      </c>
      <c r="C282" s="8" t="n">
        <v>1</v>
      </c>
      <c r="D282" s="8" t="n">
        <v>15.3</v>
      </c>
      <c r="E282" s="8" t="n">
        <v>13.77</v>
      </c>
      <c r="F282" s="8" t="n">
        <v>90</v>
      </c>
      <c r="G282" s="8" t="n">
        <v>0</v>
      </c>
      <c r="H282" s="8" t="n">
        <v>0</v>
      </c>
    </row>
    <row r="283" customFormat="false" ht="15" hidden="false" customHeight="false" outlineLevel="0" collapsed="false">
      <c r="A283" s="7" t="n">
        <v>46247</v>
      </c>
      <c r="B283" s="8" t="n">
        <v>3845</v>
      </c>
      <c r="C283" s="8" t="n">
        <v>2</v>
      </c>
      <c r="D283" s="8" t="n">
        <v>15.3</v>
      </c>
      <c r="E283" s="8" t="n">
        <v>13.77</v>
      </c>
      <c r="F283" s="8" t="n">
        <v>90</v>
      </c>
      <c r="G283" s="8" t="n">
        <v>0</v>
      </c>
      <c r="H283" s="8" t="n">
        <v>0</v>
      </c>
    </row>
    <row r="284" customFormat="false" ht="15" hidden="false" customHeight="false" outlineLevel="0" collapsed="false">
      <c r="A284" s="7" t="n">
        <v>46247</v>
      </c>
      <c r="B284" s="8" t="n">
        <v>3845</v>
      </c>
      <c r="C284" s="8" t="n">
        <v>3</v>
      </c>
      <c r="D284" s="8" t="n">
        <v>25</v>
      </c>
      <c r="E284" s="8" t="n">
        <v>22.5</v>
      </c>
      <c r="F284" s="8" t="n">
        <v>90</v>
      </c>
      <c r="G284" s="8" t="n">
        <v>0</v>
      </c>
      <c r="H284" s="8" t="n">
        <v>0</v>
      </c>
    </row>
    <row r="285" customFormat="false" ht="15" hidden="false" customHeight="false" outlineLevel="0" collapsed="false">
      <c r="A285" s="7" t="n">
        <v>46247</v>
      </c>
      <c r="B285" s="8" t="n">
        <v>3830</v>
      </c>
      <c r="C285" s="8" t="n">
        <v>1</v>
      </c>
      <c r="D285" s="8" t="n">
        <v>22.58</v>
      </c>
      <c r="E285" s="8" t="n">
        <v>20.32</v>
      </c>
      <c r="F285" s="8" t="n">
        <v>89.99</v>
      </c>
      <c r="G285" s="8" t="n">
        <v>0</v>
      </c>
      <c r="H285" s="8" t="n">
        <v>0</v>
      </c>
    </row>
    <row r="286" customFormat="false" ht="15" hidden="false" customHeight="false" outlineLevel="0" collapsed="false">
      <c r="A286" s="7" t="n">
        <v>46247</v>
      </c>
      <c r="B286" s="8" t="n">
        <v>3830</v>
      </c>
      <c r="C286" s="8" t="n">
        <v>2</v>
      </c>
      <c r="D286" s="8" t="n">
        <v>22.58</v>
      </c>
      <c r="E286" s="8" t="n">
        <v>20.32</v>
      </c>
      <c r="F286" s="8" t="n">
        <v>89.99</v>
      </c>
      <c r="G286" s="8" t="n">
        <v>0</v>
      </c>
      <c r="H286" s="8" t="n">
        <v>0</v>
      </c>
    </row>
    <row r="287" customFormat="false" ht="15" hidden="false" customHeight="false" outlineLevel="0" collapsed="false">
      <c r="A287" s="7" t="n">
        <v>46247</v>
      </c>
      <c r="B287" s="8" t="n">
        <v>3857</v>
      </c>
      <c r="C287" s="8" t="n">
        <v>1</v>
      </c>
      <c r="D287" s="8" t="n">
        <v>26</v>
      </c>
      <c r="E287" s="8" t="n">
        <v>23.4</v>
      </c>
      <c r="F287" s="8" t="n">
        <v>90</v>
      </c>
      <c r="G287" s="8" t="n">
        <v>0</v>
      </c>
      <c r="H287" s="8" t="n">
        <v>0</v>
      </c>
    </row>
    <row r="288" customFormat="false" ht="15" hidden="false" customHeight="false" outlineLevel="0" collapsed="false">
      <c r="A288" s="7" t="n">
        <v>46247</v>
      </c>
      <c r="B288" s="8" t="n">
        <v>3857</v>
      </c>
      <c r="C288" s="8" t="n">
        <v>2</v>
      </c>
      <c r="D288" s="8" t="n">
        <v>26</v>
      </c>
      <c r="E288" s="8" t="n">
        <v>23.4</v>
      </c>
      <c r="F288" s="8" t="n">
        <v>90</v>
      </c>
      <c r="G288" s="8" t="n">
        <v>0</v>
      </c>
      <c r="H288" s="8" t="n">
        <v>0</v>
      </c>
    </row>
    <row r="289" customFormat="false" ht="15" hidden="false" customHeight="false" outlineLevel="0" collapsed="false">
      <c r="A289" s="7" t="n">
        <v>46247</v>
      </c>
      <c r="B289" s="8" t="n">
        <v>3857</v>
      </c>
      <c r="C289" s="8" t="n">
        <v>3</v>
      </c>
      <c r="D289" s="8" t="n">
        <v>26</v>
      </c>
      <c r="E289" s="8" t="n">
        <v>23.4</v>
      </c>
      <c r="F289" s="8" t="n">
        <v>90</v>
      </c>
      <c r="G289" s="8" t="n">
        <v>0</v>
      </c>
      <c r="H289" s="8" t="n">
        <v>0</v>
      </c>
    </row>
    <row r="290" customFormat="false" ht="15" hidden="false" customHeight="false" outlineLevel="0" collapsed="false">
      <c r="A290" s="7" t="n">
        <v>46247</v>
      </c>
      <c r="B290" s="8" t="n">
        <v>3857</v>
      </c>
      <c r="C290" s="8" t="n">
        <v>4</v>
      </c>
      <c r="D290" s="8" t="n">
        <v>26</v>
      </c>
      <c r="E290" s="8" t="n">
        <v>23.4</v>
      </c>
      <c r="F290" s="8" t="n">
        <v>90</v>
      </c>
      <c r="G290" s="8" t="n">
        <v>0</v>
      </c>
      <c r="H290" s="8" t="n">
        <v>0</v>
      </c>
    </row>
    <row r="291" customFormat="false" ht="15" hidden="false" customHeight="false" outlineLevel="0" collapsed="false">
      <c r="A291" s="7" t="n">
        <v>46247</v>
      </c>
      <c r="B291" s="8" t="n">
        <v>3857</v>
      </c>
      <c r="C291" s="8" t="n">
        <v>5</v>
      </c>
      <c r="D291" s="8" t="n">
        <v>26</v>
      </c>
      <c r="E291" s="8" t="n">
        <v>23.4</v>
      </c>
      <c r="F291" s="8" t="n">
        <v>90</v>
      </c>
      <c r="G291" s="8" t="n">
        <v>0</v>
      </c>
      <c r="H291" s="8" t="n">
        <v>0</v>
      </c>
    </row>
    <row r="292" customFormat="false" ht="15" hidden="false" customHeight="false" outlineLevel="0" collapsed="false">
      <c r="A292" s="7" t="n">
        <v>46247</v>
      </c>
      <c r="B292" s="8" t="n">
        <v>3857</v>
      </c>
      <c r="C292" s="8" t="n">
        <v>6</v>
      </c>
      <c r="D292" s="8" t="n">
        <v>26</v>
      </c>
      <c r="E292" s="8" t="n">
        <v>23.4</v>
      </c>
      <c r="F292" s="8" t="n">
        <v>90</v>
      </c>
      <c r="G292" s="8" t="n">
        <v>0</v>
      </c>
      <c r="H292" s="8" t="n">
        <v>0</v>
      </c>
    </row>
    <row r="293" customFormat="false" ht="15" hidden="false" customHeight="false" outlineLevel="0" collapsed="false">
      <c r="A293" s="7" t="n">
        <v>46247</v>
      </c>
      <c r="B293" s="8" t="n">
        <v>3857</v>
      </c>
      <c r="C293" s="8" t="n">
        <v>7</v>
      </c>
      <c r="D293" s="8" t="n">
        <v>22.5</v>
      </c>
      <c r="E293" s="8" t="n">
        <v>20.25</v>
      </c>
      <c r="F293" s="8" t="n">
        <v>90</v>
      </c>
      <c r="G293" s="8" t="n">
        <v>0</v>
      </c>
      <c r="H293" s="8" t="n">
        <v>0</v>
      </c>
    </row>
    <row r="294" customFormat="false" ht="15" hidden="false" customHeight="false" outlineLevel="0" collapsed="false">
      <c r="A294" s="7" t="n">
        <v>46247</v>
      </c>
      <c r="B294" s="8" t="n">
        <v>3857</v>
      </c>
      <c r="C294" s="8" t="n">
        <v>8</v>
      </c>
      <c r="D294" s="8" t="n">
        <v>18</v>
      </c>
      <c r="E294" s="8" t="n">
        <v>16.2</v>
      </c>
      <c r="F294" s="8" t="n">
        <v>90</v>
      </c>
      <c r="G294" s="8" t="n">
        <v>0</v>
      </c>
      <c r="H294" s="8" t="n">
        <v>0</v>
      </c>
    </row>
    <row r="295" customFormat="false" ht="15" hidden="false" customHeight="false" outlineLevel="0" collapsed="false">
      <c r="A295" s="7" t="n">
        <v>46247</v>
      </c>
      <c r="B295" s="8" t="n">
        <v>3857</v>
      </c>
      <c r="C295" s="8" t="n">
        <v>9</v>
      </c>
      <c r="D295" s="8" t="n">
        <v>17</v>
      </c>
      <c r="E295" s="8" t="n">
        <v>15.3</v>
      </c>
      <c r="F295" s="8" t="n">
        <v>90</v>
      </c>
      <c r="G295" s="8" t="n">
        <v>0</v>
      </c>
      <c r="H295" s="8" t="n">
        <v>0</v>
      </c>
    </row>
    <row r="296" customFormat="false" ht="15" hidden="false" customHeight="false" outlineLevel="0" collapsed="false">
      <c r="A296" s="7" t="n">
        <v>46247</v>
      </c>
      <c r="B296" s="8" t="n">
        <v>3857</v>
      </c>
      <c r="C296" s="8" t="n">
        <v>9</v>
      </c>
      <c r="D296" s="8" t="n">
        <v>20</v>
      </c>
      <c r="E296" s="8" t="n">
        <v>18</v>
      </c>
      <c r="F296" s="8" t="n">
        <v>90</v>
      </c>
      <c r="G296" s="8" t="n">
        <v>0</v>
      </c>
      <c r="H296" s="8" t="n">
        <v>0</v>
      </c>
    </row>
    <row r="297" customFormat="false" ht="15" hidden="false" customHeight="false" outlineLevel="0" collapsed="false">
      <c r="A297" s="7" t="n">
        <v>46247</v>
      </c>
      <c r="B297" s="8" t="n">
        <v>3836</v>
      </c>
      <c r="C297" s="8" t="n">
        <v>1</v>
      </c>
      <c r="D297" s="8" t="n">
        <v>10.22</v>
      </c>
      <c r="E297" s="8" t="n">
        <v>9.2</v>
      </c>
      <c r="F297" s="8" t="n">
        <v>90.02</v>
      </c>
      <c r="G297" s="8" t="n">
        <v>0</v>
      </c>
      <c r="H297" s="8" t="n">
        <v>0</v>
      </c>
    </row>
    <row r="298" customFormat="false" ht="15" hidden="false" customHeight="false" outlineLevel="0" collapsed="false">
      <c r="A298" s="7" t="n">
        <v>46248</v>
      </c>
      <c r="B298" s="8" t="n">
        <v>3825</v>
      </c>
      <c r="C298" s="8" t="n">
        <v>1</v>
      </c>
      <c r="D298" s="8" t="n">
        <v>26</v>
      </c>
      <c r="E298" s="8" t="n">
        <v>23.4</v>
      </c>
      <c r="F298" s="8" t="n">
        <v>90</v>
      </c>
      <c r="G298" s="8" t="n">
        <v>0</v>
      </c>
      <c r="H298" s="8" t="n">
        <v>0</v>
      </c>
    </row>
    <row r="299" customFormat="false" ht="15" hidden="false" customHeight="false" outlineLevel="0" collapsed="false">
      <c r="A299" s="7" t="n">
        <v>46248</v>
      </c>
      <c r="B299" s="8" t="n">
        <v>3825</v>
      </c>
      <c r="C299" s="8" t="n">
        <v>2</v>
      </c>
      <c r="D299" s="8" t="n">
        <v>26</v>
      </c>
      <c r="E299" s="8" t="n">
        <v>23.4</v>
      </c>
      <c r="F299" s="8" t="n">
        <v>90</v>
      </c>
      <c r="G299" s="8" t="n">
        <v>0</v>
      </c>
      <c r="H299" s="8" t="n">
        <v>0</v>
      </c>
    </row>
    <row r="300" customFormat="false" ht="15" hidden="false" customHeight="false" outlineLevel="0" collapsed="false">
      <c r="A300" s="7" t="n">
        <v>46248</v>
      </c>
      <c r="B300" s="8" t="n">
        <v>3825</v>
      </c>
      <c r="C300" s="8" t="n">
        <v>3</v>
      </c>
      <c r="D300" s="8" t="n">
        <v>26</v>
      </c>
      <c r="E300" s="8" t="n">
        <v>23.4</v>
      </c>
      <c r="F300" s="8" t="n">
        <v>90</v>
      </c>
      <c r="G300" s="8" t="n">
        <v>0</v>
      </c>
      <c r="H300" s="8" t="n">
        <v>0</v>
      </c>
    </row>
    <row r="301" customFormat="false" ht="15" hidden="false" customHeight="false" outlineLevel="0" collapsed="false">
      <c r="A301" s="7" t="n">
        <v>46248</v>
      </c>
      <c r="B301" s="8" t="n">
        <v>3825</v>
      </c>
      <c r="C301" s="8" t="n">
        <v>4</v>
      </c>
      <c r="D301" s="8" t="n">
        <v>28</v>
      </c>
      <c r="E301" s="8" t="n">
        <v>25.2</v>
      </c>
      <c r="F301" s="8" t="n">
        <v>90</v>
      </c>
      <c r="G301" s="8" t="n">
        <v>0</v>
      </c>
      <c r="H301" s="8" t="n">
        <v>0</v>
      </c>
    </row>
    <row r="302" customFormat="false" ht="15" hidden="false" customHeight="false" outlineLevel="0" collapsed="false">
      <c r="A302" s="7" t="n">
        <v>46248</v>
      </c>
      <c r="B302" s="8" t="n">
        <v>3825</v>
      </c>
      <c r="C302" s="8" t="n">
        <v>5</v>
      </c>
      <c r="D302" s="8" t="n">
        <v>28</v>
      </c>
      <c r="E302" s="8" t="n">
        <v>25.2</v>
      </c>
      <c r="F302" s="8" t="n">
        <v>90</v>
      </c>
      <c r="G302" s="8" t="n">
        <v>0</v>
      </c>
      <c r="H302" s="8" t="n">
        <v>0</v>
      </c>
    </row>
    <row r="303" customFormat="false" ht="15" hidden="false" customHeight="false" outlineLevel="0" collapsed="false">
      <c r="A303" s="7" t="n">
        <v>46248</v>
      </c>
      <c r="B303" s="8" t="n">
        <v>3864</v>
      </c>
      <c r="C303" s="8" t="n">
        <v>1</v>
      </c>
      <c r="D303" s="8" t="n">
        <v>15</v>
      </c>
      <c r="E303" s="8" t="n">
        <v>13.5</v>
      </c>
      <c r="F303" s="8" t="n">
        <v>90</v>
      </c>
      <c r="G303" s="8" t="n">
        <v>0</v>
      </c>
      <c r="H303" s="8" t="n">
        <v>0</v>
      </c>
    </row>
    <row r="304" customFormat="false" ht="15" hidden="false" customHeight="false" outlineLevel="0" collapsed="false">
      <c r="A304" s="7" t="n">
        <v>46248</v>
      </c>
      <c r="B304" s="8" t="n">
        <v>3864</v>
      </c>
      <c r="C304" s="8" t="n">
        <v>2</v>
      </c>
      <c r="D304" s="8" t="n">
        <v>15</v>
      </c>
      <c r="E304" s="8" t="n">
        <v>13.5</v>
      </c>
      <c r="F304" s="8" t="n">
        <v>90</v>
      </c>
      <c r="G304" s="8" t="n">
        <v>0</v>
      </c>
      <c r="H304" s="8" t="n">
        <v>0</v>
      </c>
    </row>
    <row r="305" customFormat="false" ht="15" hidden="false" customHeight="false" outlineLevel="0" collapsed="false">
      <c r="A305" s="7" t="n">
        <v>46248</v>
      </c>
      <c r="B305" s="8" t="n">
        <v>3841</v>
      </c>
      <c r="C305" s="8" t="n">
        <v>1</v>
      </c>
      <c r="D305" s="8" t="n">
        <v>18.75</v>
      </c>
      <c r="E305" s="8" t="n">
        <v>16.88</v>
      </c>
      <c r="F305" s="8" t="n">
        <v>90.03</v>
      </c>
      <c r="G305" s="8" t="n">
        <v>0</v>
      </c>
      <c r="H305" s="8" t="n">
        <v>0</v>
      </c>
    </row>
    <row r="306" customFormat="false" ht="15" hidden="false" customHeight="false" outlineLevel="0" collapsed="false">
      <c r="A306" s="7" t="n">
        <v>46248</v>
      </c>
      <c r="B306" s="8" t="n">
        <v>3841</v>
      </c>
      <c r="C306" s="8" t="n">
        <v>2</v>
      </c>
      <c r="D306" s="8" t="n">
        <v>18.75</v>
      </c>
      <c r="E306" s="8" t="n">
        <v>16.88</v>
      </c>
      <c r="F306" s="8" t="n">
        <v>90.03</v>
      </c>
      <c r="G306" s="8" t="n">
        <v>0</v>
      </c>
      <c r="H306" s="8" t="n">
        <v>0</v>
      </c>
    </row>
    <row r="307" customFormat="false" ht="15" hidden="false" customHeight="false" outlineLevel="0" collapsed="false">
      <c r="A307" s="7" t="n">
        <v>46248</v>
      </c>
      <c r="B307" s="8" t="n">
        <v>3831</v>
      </c>
      <c r="C307" s="8" t="n">
        <v>1</v>
      </c>
      <c r="D307" s="8" t="n">
        <v>25</v>
      </c>
      <c r="E307" s="8" t="n">
        <v>22.5</v>
      </c>
      <c r="F307" s="8" t="n">
        <v>90</v>
      </c>
      <c r="G307" s="8" t="n">
        <v>0</v>
      </c>
      <c r="H307" s="8" t="n">
        <v>0</v>
      </c>
    </row>
    <row r="308" customFormat="false" ht="15" hidden="false" customHeight="false" outlineLevel="0" collapsed="false">
      <c r="A308" s="7" t="n">
        <v>46248</v>
      </c>
      <c r="B308" s="8" t="n">
        <v>3831</v>
      </c>
      <c r="C308" s="8" t="n">
        <v>2</v>
      </c>
      <c r="D308" s="8" t="n">
        <v>25</v>
      </c>
      <c r="E308" s="8" t="n">
        <v>22.5</v>
      </c>
      <c r="F308" s="8" t="n">
        <v>90</v>
      </c>
      <c r="G308" s="8" t="n">
        <v>0</v>
      </c>
      <c r="H308" s="8" t="n">
        <v>0</v>
      </c>
    </row>
    <row r="309" customFormat="false" ht="15" hidden="false" customHeight="false" outlineLevel="0" collapsed="false">
      <c r="A309" s="7" t="n">
        <v>46248</v>
      </c>
      <c r="B309" s="8" t="n">
        <v>3831</v>
      </c>
      <c r="C309" s="8" t="n">
        <v>3</v>
      </c>
      <c r="D309" s="8" t="n">
        <v>25</v>
      </c>
      <c r="E309" s="8" t="n">
        <v>22.5</v>
      </c>
      <c r="F309" s="8" t="n">
        <v>90</v>
      </c>
      <c r="G309" s="8" t="n">
        <v>0</v>
      </c>
      <c r="H309" s="8" t="n">
        <v>0</v>
      </c>
    </row>
    <row r="310" customFormat="false" ht="15" hidden="false" customHeight="false" outlineLevel="0" collapsed="false">
      <c r="A310" s="7" t="n">
        <v>46248</v>
      </c>
      <c r="B310" s="8" t="n">
        <v>3831</v>
      </c>
      <c r="C310" s="8" t="n">
        <v>4</v>
      </c>
      <c r="D310" s="8" t="n">
        <v>25</v>
      </c>
      <c r="E310" s="8" t="n">
        <v>22.5</v>
      </c>
      <c r="F310" s="8" t="n">
        <v>90</v>
      </c>
      <c r="G310" s="8" t="n">
        <v>0</v>
      </c>
      <c r="H310" s="8" t="n">
        <v>0</v>
      </c>
    </row>
    <row r="311" customFormat="false" ht="15" hidden="false" customHeight="false" outlineLevel="0" collapsed="false">
      <c r="A311" s="7" t="n">
        <v>46248</v>
      </c>
      <c r="B311" s="8" t="n">
        <v>3853</v>
      </c>
      <c r="C311" s="8" t="n">
        <v>1</v>
      </c>
      <c r="D311" s="8" t="n">
        <v>13.5</v>
      </c>
      <c r="E311" s="8" t="n">
        <v>12.15</v>
      </c>
      <c r="F311" s="8" t="n">
        <v>90</v>
      </c>
      <c r="G311" s="8" t="n">
        <v>0</v>
      </c>
      <c r="H311" s="8" t="n">
        <v>0</v>
      </c>
    </row>
    <row r="312" customFormat="false" ht="15" hidden="false" customHeight="false" outlineLevel="0" collapsed="false">
      <c r="A312" s="7" t="n">
        <v>46248</v>
      </c>
      <c r="B312" s="8" t="n">
        <v>3843</v>
      </c>
      <c r="C312" s="8" t="n">
        <v>1</v>
      </c>
      <c r="D312" s="8" t="n">
        <v>8</v>
      </c>
      <c r="E312" s="8" t="n">
        <v>7.2</v>
      </c>
      <c r="F312" s="8" t="n">
        <v>90</v>
      </c>
      <c r="G312" s="8" t="n">
        <v>0</v>
      </c>
      <c r="H312" s="8" t="n">
        <v>0</v>
      </c>
    </row>
    <row r="313" customFormat="false" ht="15" hidden="false" customHeight="false" outlineLevel="0" collapsed="false">
      <c r="A313" s="7" t="n">
        <v>46248</v>
      </c>
      <c r="B313" s="8" t="n">
        <v>3851</v>
      </c>
      <c r="C313" s="8" t="n">
        <v>1</v>
      </c>
      <c r="D313" s="8" t="n">
        <v>12.5</v>
      </c>
      <c r="E313" s="8" t="n">
        <v>11.25</v>
      </c>
      <c r="F313" s="8" t="n">
        <v>90</v>
      </c>
      <c r="G313" s="8" t="n">
        <v>0</v>
      </c>
      <c r="H313" s="8" t="n">
        <v>0</v>
      </c>
    </row>
    <row r="314" customFormat="false" ht="15" hidden="false" customHeight="false" outlineLevel="0" collapsed="false">
      <c r="A314" s="7" t="n">
        <v>46248</v>
      </c>
      <c r="B314" s="8" t="n">
        <v>3864</v>
      </c>
      <c r="C314" s="8" t="n">
        <v>3</v>
      </c>
      <c r="D314" s="8" t="n">
        <v>20</v>
      </c>
      <c r="E314" s="8" t="n">
        <v>18</v>
      </c>
      <c r="F314" s="8" t="n">
        <v>90</v>
      </c>
      <c r="G314" s="8" t="n">
        <v>0</v>
      </c>
      <c r="H314" s="8" t="n">
        <v>0</v>
      </c>
    </row>
    <row r="315" customFormat="false" ht="15" hidden="false" customHeight="false" outlineLevel="0" collapsed="false">
      <c r="A315" s="7" t="n">
        <v>46248</v>
      </c>
      <c r="B315" s="8" t="n">
        <v>3870</v>
      </c>
      <c r="C315" s="8" t="n">
        <v>1</v>
      </c>
      <c r="D315" s="8" t="n">
        <v>25</v>
      </c>
      <c r="E315" s="8" t="n">
        <v>22.5</v>
      </c>
      <c r="F315" s="8" t="n">
        <v>90</v>
      </c>
      <c r="G315" s="8" t="n">
        <v>0</v>
      </c>
      <c r="H315" s="8" t="n">
        <v>0</v>
      </c>
    </row>
    <row r="316" customFormat="false" ht="15" hidden="false" customHeight="false" outlineLevel="0" collapsed="false">
      <c r="A316" s="7" t="n">
        <v>46248</v>
      </c>
      <c r="B316" s="8" t="n">
        <v>3870</v>
      </c>
      <c r="C316" s="8" t="n">
        <v>2</v>
      </c>
      <c r="D316" s="8" t="n">
        <v>20</v>
      </c>
      <c r="E316" s="8" t="n">
        <v>18</v>
      </c>
      <c r="F316" s="8" t="n">
        <v>90</v>
      </c>
      <c r="G316" s="8" t="n">
        <v>0</v>
      </c>
      <c r="H316" s="8" t="n">
        <v>0</v>
      </c>
    </row>
    <row r="317" customFormat="false" ht="15" hidden="false" customHeight="false" outlineLevel="0" collapsed="false">
      <c r="A317" s="7" t="n">
        <v>46248</v>
      </c>
      <c r="B317" s="8" t="n">
        <v>3870</v>
      </c>
      <c r="C317" s="8" t="n">
        <v>3</v>
      </c>
      <c r="D317" s="8" t="n">
        <v>12</v>
      </c>
      <c r="E317" s="8" t="n">
        <v>10.8</v>
      </c>
      <c r="F317" s="8" t="n">
        <v>90</v>
      </c>
      <c r="G317" s="8" t="n">
        <v>0</v>
      </c>
      <c r="H317" s="8" t="n">
        <v>0</v>
      </c>
    </row>
    <row r="318" customFormat="false" ht="15" hidden="false" customHeight="false" outlineLevel="0" collapsed="false">
      <c r="A318" s="7" t="n">
        <v>46252</v>
      </c>
      <c r="B318" s="8" t="n">
        <v>3871</v>
      </c>
      <c r="C318" s="8" t="n">
        <v>1</v>
      </c>
      <c r="D318" s="8" t="n">
        <v>14</v>
      </c>
      <c r="E318" s="8" t="n">
        <v>12.6</v>
      </c>
      <c r="F318" s="8" t="n">
        <v>90</v>
      </c>
      <c r="G318" s="8" t="n">
        <v>0</v>
      </c>
      <c r="H318" s="8" t="n">
        <v>0</v>
      </c>
    </row>
    <row r="319" customFormat="false" ht="15" hidden="false" customHeight="false" outlineLevel="0" collapsed="false">
      <c r="A319" s="7" t="n">
        <v>46252</v>
      </c>
      <c r="B319" s="8" t="n">
        <v>3848</v>
      </c>
      <c r="C319" s="8" t="n">
        <v>1</v>
      </c>
      <c r="D319" s="8" t="n">
        <v>26.6</v>
      </c>
      <c r="E319" s="8" t="n">
        <v>23.94</v>
      </c>
      <c r="F319" s="8" t="n">
        <v>90</v>
      </c>
      <c r="G319" s="8" t="n">
        <v>0</v>
      </c>
      <c r="H319" s="8" t="n">
        <v>0</v>
      </c>
    </row>
    <row r="320" customFormat="false" ht="15" hidden="false" customHeight="false" outlineLevel="0" collapsed="false">
      <c r="A320" s="7" t="n">
        <v>46252</v>
      </c>
      <c r="B320" s="8" t="n">
        <v>3848</v>
      </c>
      <c r="C320" s="8" t="n">
        <v>2</v>
      </c>
      <c r="D320" s="8" t="n">
        <v>26.6</v>
      </c>
      <c r="E320" s="8" t="n">
        <v>23.94</v>
      </c>
      <c r="F320" s="8" t="n">
        <v>90</v>
      </c>
      <c r="G320" s="8" t="n">
        <v>0</v>
      </c>
      <c r="H320" s="8" t="n">
        <v>0</v>
      </c>
    </row>
    <row r="321" customFormat="false" ht="15" hidden="false" customHeight="false" outlineLevel="0" collapsed="false">
      <c r="A321" s="7" t="n">
        <v>46252</v>
      </c>
      <c r="B321" s="8" t="n">
        <v>3848</v>
      </c>
      <c r="C321" s="8" t="n">
        <v>3</v>
      </c>
      <c r="D321" s="8" t="n">
        <v>26.9</v>
      </c>
      <c r="E321" s="8" t="n">
        <v>24.21</v>
      </c>
      <c r="F321" s="8" t="n">
        <v>90</v>
      </c>
      <c r="G321" s="8" t="n">
        <v>0</v>
      </c>
      <c r="H321" s="8" t="n">
        <v>0</v>
      </c>
    </row>
    <row r="322" customFormat="false" ht="15" hidden="false" customHeight="false" outlineLevel="0" collapsed="false">
      <c r="A322" s="7" t="n">
        <v>46252</v>
      </c>
      <c r="B322" s="8" t="n">
        <v>3848</v>
      </c>
      <c r="C322" s="8" t="n">
        <v>4</v>
      </c>
      <c r="D322" s="8" t="n">
        <v>26.5</v>
      </c>
      <c r="E322" s="8" t="n">
        <v>23.85</v>
      </c>
      <c r="F322" s="8" t="n">
        <v>90</v>
      </c>
      <c r="G322" s="8" t="n">
        <v>0</v>
      </c>
      <c r="H322" s="8" t="n">
        <v>0</v>
      </c>
    </row>
    <row r="323" customFormat="false" ht="15" hidden="false" customHeight="false" outlineLevel="0" collapsed="false">
      <c r="A323" s="7" t="n">
        <v>46252</v>
      </c>
      <c r="B323" s="8" t="n">
        <v>3837</v>
      </c>
      <c r="C323" s="8" t="n">
        <v>1</v>
      </c>
      <c r="D323" s="8" t="n">
        <v>25</v>
      </c>
      <c r="E323" s="8" t="n">
        <v>22.5</v>
      </c>
      <c r="F323" s="8" t="n">
        <v>90</v>
      </c>
      <c r="G323" s="8" t="n">
        <v>0</v>
      </c>
      <c r="H323" s="8" t="n">
        <v>0</v>
      </c>
    </row>
    <row r="324" customFormat="false" ht="15" hidden="false" customHeight="false" outlineLevel="0" collapsed="false">
      <c r="A324" s="7" t="n">
        <v>46252</v>
      </c>
      <c r="B324" s="8" t="n">
        <v>3837</v>
      </c>
      <c r="C324" s="8" t="n">
        <v>2</v>
      </c>
      <c r="D324" s="8" t="n">
        <v>20</v>
      </c>
      <c r="E324" s="8" t="n">
        <v>18</v>
      </c>
      <c r="F324" s="8" t="n">
        <v>90</v>
      </c>
      <c r="G324" s="8" t="n">
        <v>0</v>
      </c>
      <c r="H324" s="8" t="n">
        <v>0</v>
      </c>
    </row>
    <row r="325" customFormat="false" ht="15" hidden="false" customHeight="false" outlineLevel="0" collapsed="false">
      <c r="A325" s="7" t="n">
        <v>46252</v>
      </c>
      <c r="B325" s="8" t="n">
        <v>3847</v>
      </c>
      <c r="C325" s="8" t="n">
        <v>1</v>
      </c>
      <c r="D325" s="8" t="n">
        <v>13.47</v>
      </c>
      <c r="E325" s="8" t="n">
        <v>12.12</v>
      </c>
      <c r="F325" s="8" t="n">
        <v>89.98</v>
      </c>
      <c r="G325" s="8" t="n">
        <v>0</v>
      </c>
      <c r="H325" s="8" t="n">
        <v>0</v>
      </c>
    </row>
    <row r="326" customFormat="false" ht="15" hidden="false" customHeight="false" outlineLevel="0" collapsed="false">
      <c r="A326" s="7" t="n">
        <v>46252</v>
      </c>
      <c r="B326" s="8" t="n">
        <v>3844</v>
      </c>
      <c r="C326" s="8" t="n">
        <v>1</v>
      </c>
      <c r="D326" s="8" t="n">
        <v>19</v>
      </c>
      <c r="E326" s="8" t="n">
        <v>17.1</v>
      </c>
      <c r="F326" s="8" t="n">
        <v>90</v>
      </c>
      <c r="G326" s="8" t="n">
        <v>0</v>
      </c>
      <c r="H326" s="8" t="n">
        <v>0</v>
      </c>
    </row>
    <row r="327" customFormat="false" ht="15" hidden="false" customHeight="false" outlineLevel="0" collapsed="false">
      <c r="A327" s="7" t="n">
        <v>46252</v>
      </c>
      <c r="B327" s="8" t="n">
        <v>3844</v>
      </c>
      <c r="C327" s="8" t="n">
        <v>2</v>
      </c>
      <c r="D327" s="8" t="n">
        <v>19</v>
      </c>
      <c r="E327" s="8" t="n">
        <v>17.1</v>
      </c>
      <c r="F327" s="8" t="n">
        <v>90</v>
      </c>
      <c r="G327" s="8" t="n">
        <v>0</v>
      </c>
      <c r="H327" s="8" t="n">
        <v>0</v>
      </c>
    </row>
    <row r="328" customFormat="false" ht="15" hidden="false" customHeight="false" outlineLevel="0" collapsed="false">
      <c r="A328" s="7" t="n">
        <v>46252</v>
      </c>
      <c r="B328" s="8" t="n">
        <v>3844</v>
      </c>
      <c r="C328" s="8" t="n">
        <v>3</v>
      </c>
      <c r="D328" s="8" t="n">
        <v>19</v>
      </c>
      <c r="E328" s="8" t="n">
        <v>17.1</v>
      </c>
      <c r="F328" s="8" t="n">
        <v>90</v>
      </c>
      <c r="G328" s="8" t="n">
        <v>0</v>
      </c>
      <c r="H328" s="8" t="n">
        <v>0</v>
      </c>
    </row>
    <row r="329" customFormat="false" ht="15" hidden="false" customHeight="false" outlineLevel="0" collapsed="false">
      <c r="A329" s="7" t="n">
        <v>46252</v>
      </c>
      <c r="B329" s="8" t="n">
        <v>3854</v>
      </c>
      <c r="C329" s="8" t="n">
        <v>1</v>
      </c>
      <c r="D329" s="8" t="n">
        <v>21</v>
      </c>
      <c r="E329" s="8" t="n">
        <v>18.9</v>
      </c>
      <c r="F329" s="8" t="n">
        <v>90</v>
      </c>
      <c r="G329" s="8" t="n">
        <v>0</v>
      </c>
      <c r="H329" s="8" t="n">
        <v>0</v>
      </c>
    </row>
    <row r="330" customFormat="false" ht="15" hidden="false" customHeight="false" outlineLevel="0" collapsed="false">
      <c r="A330" s="7" t="n">
        <v>46252</v>
      </c>
      <c r="B330" s="8" t="n">
        <v>3850</v>
      </c>
      <c r="C330" s="8" t="n">
        <v>1</v>
      </c>
      <c r="D330" s="8" t="n">
        <v>11.9</v>
      </c>
      <c r="E330" s="8" t="n">
        <v>10.71</v>
      </c>
      <c r="F330" s="8" t="n">
        <v>90</v>
      </c>
      <c r="G330" s="8" t="n">
        <v>0</v>
      </c>
      <c r="H330" s="8" t="n">
        <v>0</v>
      </c>
    </row>
    <row r="331" customFormat="false" ht="15" hidden="false" customHeight="false" outlineLevel="0" collapsed="false">
      <c r="A331" s="7" t="n">
        <v>46252</v>
      </c>
      <c r="B331" s="8" t="n">
        <v>3852</v>
      </c>
      <c r="C331" s="8" t="n">
        <v>1</v>
      </c>
      <c r="D331" s="8" t="n">
        <v>17</v>
      </c>
      <c r="E331" s="8" t="n">
        <v>15.3</v>
      </c>
      <c r="F331" s="8" t="n">
        <v>90</v>
      </c>
      <c r="G331" s="8" t="n">
        <v>0</v>
      </c>
      <c r="H331" s="8" t="n">
        <v>0</v>
      </c>
    </row>
    <row r="332" customFormat="false" ht="15" hidden="false" customHeight="false" outlineLevel="0" collapsed="false">
      <c r="A332" s="7" t="n">
        <v>46252</v>
      </c>
      <c r="B332" s="8" t="n">
        <v>3883</v>
      </c>
      <c r="C332" s="8" t="n">
        <v>1</v>
      </c>
      <c r="D332" s="8" t="n">
        <v>20</v>
      </c>
      <c r="E332" s="8" t="n">
        <v>18</v>
      </c>
      <c r="F332" s="8" t="n">
        <v>90</v>
      </c>
      <c r="G332" s="8" t="n">
        <v>0</v>
      </c>
      <c r="H332" s="8" t="n">
        <v>0</v>
      </c>
    </row>
    <row r="333" customFormat="false" ht="15" hidden="false" customHeight="false" outlineLevel="0" collapsed="false">
      <c r="A333" s="7" t="n">
        <v>46252</v>
      </c>
      <c r="B333" s="8" t="n">
        <v>3884</v>
      </c>
      <c r="C333" s="8" t="n">
        <v>1</v>
      </c>
      <c r="D333" s="8" t="n">
        <v>9.3</v>
      </c>
      <c r="E333" s="8" t="n">
        <v>8.37</v>
      </c>
      <c r="F333" s="8" t="n">
        <v>90</v>
      </c>
      <c r="G333" s="8" t="n">
        <v>0</v>
      </c>
      <c r="H333" s="8" t="n">
        <v>0</v>
      </c>
    </row>
    <row r="334" customFormat="false" ht="15" hidden="false" customHeight="false" outlineLevel="0" collapsed="false">
      <c r="A334" s="7" t="n">
        <v>46252</v>
      </c>
      <c r="B334" s="8" t="n">
        <v>3849</v>
      </c>
      <c r="C334" s="8" t="n">
        <v>1</v>
      </c>
      <c r="D334" s="8" t="n">
        <v>11.5</v>
      </c>
      <c r="E334" s="8" t="n">
        <v>10.35</v>
      </c>
      <c r="F334" s="8" t="n">
        <v>90</v>
      </c>
      <c r="G334" s="8" t="n">
        <v>0</v>
      </c>
      <c r="H334" s="8" t="n">
        <v>0</v>
      </c>
    </row>
    <row r="335" customFormat="false" ht="15" hidden="false" customHeight="false" outlineLevel="0" collapsed="false">
      <c r="A335" s="7" t="n">
        <v>46252</v>
      </c>
      <c r="B335" s="8" t="n">
        <v>3849</v>
      </c>
      <c r="C335" s="8" t="n">
        <v>2</v>
      </c>
      <c r="D335" s="8" t="n">
        <v>22</v>
      </c>
      <c r="E335" s="8" t="n">
        <v>19.8</v>
      </c>
      <c r="F335" s="8" t="n">
        <v>90</v>
      </c>
      <c r="G335" s="8" t="n">
        <v>0</v>
      </c>
      <c r="H335" s="8" t="n">
        <v>0</v>
      </c>
    </row>
    <row r="336" customFormat="false" ht="15" hidden="false" customHeight="false" outlineLevel="0" collapsed="false">
      <c r="A336" s="7" t="n">
        <v>46252</v>
      </c>
      <c r="B336" s="8" t="n">
        <v>3849</v>
      </c>
      <c r="C336" s="8" t="n">
        <v>3</v>
      </c>
      <c r="D336" s="8" t="n">
        <v>16</v>
      </c>
      <c r="E336" s="8" t="n">
        <v>14.4</v>
      </c>
      <c r="F336" s="8" t="n">
        <v>90</v>
      </c>
      <c r="G336" s="8" t="n">
        <v>0</v>
      </c>
      <c r="H336" s="8" t="n">
        <v>0</v>
      </c>
    </row>
    <row r="337" customFormat="false" ht="15" hidden="false" customHeight="false" outlineLevel="0" collapsed="false">
      <c r="A337" s="7" t="n">
        <v>46252</v>
      </c>
      <c r="B337" s="8" t="n">
        <v>3849</v>
      </c>
      <c r="C337" s="8" t="n">
        <v>4</v>
      </c>
      <c r="D337" s="8" t="n">
        <v>16</v>
      </c>
      <c r="E337" s="8" t="n">
        <v>14.4</v>
      </c>
      <c r="F337" s="8" t="n">
        <v>90</v>
      </c>
      <c r="G337" s="8" t="n">
        <v>0</v>
      </c>
      <c r="H337" s="8" t="n">
        <v>0</v>
      </c>
    </row>
    <row r="338" customFormat="false" ht="15" hidden="false" customHeight="false" outlineLevel="0" collapsed="false">
      <c r="A338" s="7" t="n">
        <v>46252</v>
      </c>
      <c r="B338" s="8" t="n">
        <v>3876</v>
      </c>
      <c r="C338" s="8" t="n">
        <v>1</v>
      </c>
      <c r="D338" s="8" t="n">
        <v>10</v>
      </c>
      <c r="E338" s="8" t="n">
        <v>9</v>
      </c>
      <c r="F338" s="8" t="n">
        <v>90</v>
      </c>
      <c r="G338" s="8" t="n">
        <v>0</v>
      </c>
      <c r="H338" s="8" t="n">
        <v>0</v>
      </c>
    </row>
    <row r="339" customFormat="false" ht="15" hidden="false" customHeight="false" outlineLevel="0" collapsed="false">
      <c r="A339" s="7" t="n">
        <v>46253</v>
      </c>
      <c r="B339" s="8" t="n">
        <v>3889</v>
      </c>
      <c r="C339" s="8" t="n">
        <v>1</v>
      </c>
      <c r="D339" s="8" t="n">
        <v>25</v>
      </c>
      <c r="E339" s="8" t="n">
        <v>22.5</v>
      </c>
      <c r="F339" s="8" t="n">
        <v>90</v>
      </c>
      <c r="G339" s="8" t="n">
        <v>0</v>
      </c>
      <c r="H339" s="8" t="n">
        <v>0</v>
      </c>
    </row>
    <row r="340" customFormat="false" ht="15" hidden="false" customHeight="false" outlineLevel="0" collapsed="false">
      <c r="A340" s="7" t="n">
        <v>46253</v>
      </c>
      <c r="B340" s="8" t="n">
        <v>3889</v>
      </c>
      <c r="C340" s="8" t="n">
        <v>2</v>
      </c>
      <c r="D340" s="8" t="n">
        <v>15</v>
      </c>
      <c r="E340" s="8" t="n">
        <v>13.5</v>
      </c>
      <c r="F340" s="8" t="n">
        <v>90</v>
      </c>
      <c r="G340" s="8" t="n">
        <v>0</v>
      </c>
      <c r="H340" s="8" t="n">
        <v>0</v>
      </c>
    </row>
    <row r="341" customFormat="false" ht="15" hidden="false" customHeight="false" outlineLevel="0" collapsed="false">
      <c r="A341" s="7" t="n">
        <v>46253</v>
      </c>
      <c r="B341" s="8" t="n">
        <v>3876</v>
      </c>
      <c r="C341" s="8" t="n">
        <v>2</v>
      </c>
      <c r="D341" s="8" t="n">
        <v>10</v>
      </c>
      <c r="E341" s="8" t="n">
        <v>9</v>
      </c>
      <c r="F341" s="8" t="n">
        <v>90</v>
      </c>
      <c r="G341" s="8" t="n">
        <v>0</v>
      </c>
      <c r="H341" s="8" t="n">
        <v>0</v>
      </c>
    </row>
    <row r="342" customFormat="false" ht="15" hidden="false" customHeight="false" outlineLevel="0" collapsed="false">
      <c r="A342" s="7" t="n">
        <v>46253</v>
      </c>
      <c r="B342" s="8" t="n">
        <v>3838</v>
      </c>
      <c r="C342" s="8" t="n">
        <v>4</v>
      </c>
      <c r="D342" s="8" t="n">
        <v>18.84</v>
      </c>
      <c r="E342" s="8" t="n">
        <v>16.96</v>
      </c>
      <c r="F342" s="8" t="n">
        <v>90.02</v>
      </c>
      <c r="G342" s="8" t="n">
        <v>0</v>
      </c>
      <c r="H342" s="8" t="n">
        <v>0</v>
      </c>
    </row>
    <row r="343" customFormat="false" ht="15" hidden="false" customHeight="false" outlineLevel="0" collapsed="false">
      <c r="A343" s="7" t="n">
        <v>46253</v>
      </c>
      <c r="B343" s="8" t="n">
        <v>3889</v>
      </c>
      <c r="C343" s="8" t="n">
        <v>5</v>
      </c>
      <c r="D343" s="8" t="n">
        <v>18.84</v>
      </c>
      <c r="E343" s="8" t="n">
        <v>16.96</v>
      </c>
      <c r="F343" s="8" t="n">
        <v>90.02</v>
      </c>
      <c r="G343" s="8" t="n">
        <v>0</v>
      </c>
      <c r="H343" s="8" t="n">
        <v>0</v>
      </c>
    </row>
    <row r="344" customFormat="false" ht="15" hidden="false" customHeight="false" outlineLevel="0" collapsed="false">
      <c r="A344" s="7" t="n">
        <v>46253</v>
      </c>
      <c r="B344" s="8" t="n">
        <v>3889</v>
      </c>
      <c r="C344" s="8" t="n">
        <v>6</v>
      </c>
      <c r="D344" s="8" t="n">
        <v>18.84</v>
      </c>
      <c r="E344" s="8" t="n">
        <v>16.96</v>
      </c>
      <c r="F344" s="8" t="n">
        <v>90.02</v>
      </c>
      <c r="G344" s="8" t="n">
        <v>0</v>
      </c>
      <c r="H344" s="8" t="n">
        <v>0</v>
      </c>
    </row>
    <row r="345" customFormat="false" ht="15" hidden="false" customHeight="false" outlineLevel="0" collapsed="false">
      <c r="A345" s="7" t="n">
        <v>46253</v>
      </c>
      <c r="B345" s="8" t="n">
        <v>3859</v>
      </c>
      <c r="C345" s="8" t="n">
        <v>1</v>
      </c>
      <c r="D345" s="8" t="n">
        <v>14</v>
      </c>
      <c r="E345" s="8" t="n">
        <v>12.6</v>
      </c>
      <c r="F345" s="8" t="n">
        <v>90</v>
      </c>
      <c r="G345" s="8" t="n">
        <v>0</v>
      </c>
      <c r="H345" s="8" t="n">
        <v>0</v>
      </c>
    </row>
    <row r="346" customFormat="false" ht="15" hidden="false" customHeight="false" outlineLevel="0" collapsed="false">
      <c r="A346" s="7" t="n">
        <v>46253</v>
      </c>
      <c r="B346" s="8" t="n">
        <v>3863</v>
      </c>
      <c r="C346" s="8" t="n">
        <v>1</v>
      </c>
      <c r="D346" s="8" t="n">
        <v>19.35</v>
      </c>
      <c r="E346" s="8" t="n">
        <v>17.41</v>
      </c>
      <c r="F346" s="8" t="n">
        <v>89.97</v>
      </c>
      <c r="G346" s="8" t="n">
        <v>0</v>
      </c>
      <c r="H346" s="8" t="n">
        <v>0</v>
      </c>
    </row>
    <row r="347" customFormat="false" ht="15" hidden="false" customHeight="false" outlineLevel="0" collapsed="false">
      <c r="A347" s="7" t="n">
        <v>46253</v>
      </c>
      <c r="B347" s="8" t="n">
        <v>3888</v>
      </c>
      <c r="C347" s="8" t="n">
        <v>1</v>
      </c>
      <c r="D347" s="8" t="n">
        <v>25</v>
      </c>
      <c r="E347" s="8" t="n">
        <v>22.5</v>
      </c>
      <c r="F347" s="8" t="n">
        <v>90</v>
      </c>
      <c r="G347" s="8" t="n">
        <v>0</v>
      </c>
      <c r="H347" s="8" t="n">
        <v>0</v>
      </c>
    </row>
    <row r="348" customFormat="false" ht="15" hidden="false" customHeight="false" outlineLevel="0" collapsed="false">
      <c r="A348" s="7" t="n">
        <v>46253</v>
      </c>
      <c r="B348" s="8" t="n">
        <v>3833</v>
      </c>
      <c r="C348" s="8" t="n">
        <v>1</v>
      </c>
      <c r="D348" s="8" t="n">
        <v>12</v>
      </c>
      <c r="E348" s="8" t="n">
        <v>10.8</v>
      </c>
      <c r="F348" s="8" t="n">
        <v>90</v>
      </c>
      <c r="G348" s="8" t="n">
        <v>0</v>
      </c>
      <c r="H348" s="8" t="n">
        <v>0</v>
      </c>
    </row>
    <row r="349" customFormat="false" ht="15" hidden="false" customHeight="false" outlineLevel="0" collapsed="false">
      <c r="A349" s="7" t="n">
        <v>46253</v>
      </c>
      <c r="B349" s="8" t="n">
        <v>3869</v>
      </c>
      <c r="C349" s="8" t="n">
        <v>1</v>
      </c>
      <c r="D349" s="8" t="n">
        <v>20</v>
      </c>
      <c r="E349" s="8" t="n">
        <v>18</v>
      </c>
      <c r="F349" s="8" t="n">
        <v>90</v>
      </c>
      <c r="G349" s="8" t="n">
        <v>0</v>
      </c>
      <c r="H349" s="8" t="n">
        <v>0</v>
      </c>
    </row>
    <row r="350" customFormat="false" ht="15" hidden="false" customHeight="false" outlineLevel="0" collapsed="false">
      <c r="A350" s="7" t="n">
        <v>46253</v>
      </c>
      <c r="B350" s="8" t="n">
        <v>3889</v>
      </c>
      <c r="C350" s="8" t="n">
        <v>3</v>
      </c>
      <c r="D350" s="8" t="n">
        <v>25</v>
      </c>
      <c r="E350" s="8" t="n">
        <v>22.5</v>
      </c>
      <c r="F350" s="8" t="n">
        <v>90</v>
      </c>
      <c r="G350" s="8" t="n">
        <v>0</v>
      </c>
      <c r="H350" s="8" t="n">
        <v>0</v>
      </c>
    </row>
    <row r="351" customFormat="false" ht="15" hidden="false" customHeight="false" outlineLevel="0" collapsed="false">
      <c r="A351" s="7" t="n">
        <v>46253</v>
      </c>
      <c r="B351" s="8" t="n">
        <v>3889</v>
      </c>
      <c r="C351" s="8" t="n">
        <v>4</v>
      </c>
      <c r="D351" s="8" t="n">
        <v>15</v>
      </c>
      <c r="E351" s="8" t="n">
        <v>13.5</v>
      </c>
      <c r="F351" s="8" t="n">
        <v>90</v>
      </c>
      <c r="G351" s="8" t="n">
        <v>0</v>
      </c>
      <c r="H351" s="8" t="n">
        <v>0</v>
      </c>
    </row>
    <row r="352" customFormat="false" ht="15" hidden="false" customHeight="false" outlineLevel="0" collapsed="false">
      <c r="A352" s="7" t="n">
        <v>46253</v>
      </c>
      <c r="B352" s="8" t="n">
        <v>3861</v>
      </c>
      <c r="C352" s="8" t="n">
        <v>1</v>
      </c>
      <c r="D352" s="8" t="n">
        <v>17.9</v>
      </c>
      <c r="E352" s="8" t="n">
        <v>16.11</v>
      </c>
      <c r="F352" s="8" t="n">
        <v>90</v>
      </c>
      <c r="G352" s="8" t="n">
        <v>0</v>
      </c>
      <c r="H352" s="8" t="n">
        <v>0</v>
      </c>
    </row>
    <row r="353" customFormat="false" ht="15" hidden="false" customHeight="false" outlineLevel="0" collapsed="false">
      <c r="A353" s="7" t="n">
        <v>46253</v>
      </c>
      <c r="B353" s="8" t="n">
        <v>3860</v>
      </c>
      <c r="C353" s="8" t="n">
        <v>1</v>
      </c>
      <c r="D353" s="8" t="n">
        <v>11.12</v>
      </c>
      <c r="E353" s="8" t="n">
        <v>10.01</v>
      </c>
      <c r="F353" s="8" t="n">
        <v>90.02</v>
      </c>
      <c r="G353" s="8" t="n">
        <v>0</v>
      </c>
      <c r="H353" s="8" t="n">
        <v>0</v>
      </c>
    </row>
    <row r="354" customFormat="false" ht="15" hidden="false" customHeight="false" outlineLevel="0" collapsed="false">
      <c r="A354" s="7" t="n">
        <v>46253</v>
      </c>
      <c r="B354" s="8" t="n">
        <v>3862</v>
      </c>
      <c r="C354" s="8" t="n">
        <v>1</v>
      </c>
      <c r="D354" s="8" t="n">
        <v>23.9</v>
      </c>
      <c r="E354" s="8" t="n">
        <v>21.51</v>
      </c>
      <c r="F354" s="8" t="n">
        <v>90</v>
      </c>
      <c r="G354" s="8" t="n">
        <v>0</v>
      </c>
      <c r="H354" s="8" t="n">
        <v>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3"/>
    <col collapsed="false" customWidth="true" hidden="false" outlineLevel="0" max="8" min="8" style="0" width="14"/>
  </cols>
  <sheetData>
    <row r="1" customFormat="false" ht="25.5" hidden="false" customHeight="true" outlineLevel="0" collapsed="false">
      <c r="A1" s="1" t="s">
        <v>23</v>
      </c>
      <c r="B1" s="1"/>
      <c r="C1" s="1"/>
      <c r="D1" s="1"/>
      <c r="E1" s="1"/>
      <c r="F1" s="1"/>
      <c r="G1" s="1"/>
    </row>
    <row r="3" customFormat="false" ht="30" hidden="false" customHeight="true" outlineLevel="0" collapsed="false">
      <c r="A3" s="6" t="s">
        <v>24</v>
      </c>
      <c r="B3" s="6" t="s">
        <v>25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6" t="s">
        <v>31</v>
      </c>
    </row>
    <row r="4" customFormat="false" ht="15" hidden="false" customHeight="false" outlineLevel="0" collapsed="false">
      <c r="A4" s="8" t="s">
        <v>32</v>
      </c>
      <c r="B4" s="9" t="s">
        <v>33</v>
      </c>
      <c r="C4" s="9" t="s">
        <v>33</v>
      </c>
      <c r="D4" s="9" t="s">
        <v>33</v>
      </c>
      <c r="E4" s="9" t="s">
        <v>33</v>
      </c>
      <c r="F4" s="9" t="s">
        <v>33</v>
      </c>
      <c r="G4" s="9" t="s">
        <v>33</v>
      </c>
      <c r="H4" s="9" t="s">
        <v>33</v>
      </c>
    </row>
    <row r="5" customFormat="false" ht="15" hidden="false" customHeight="false" outlineLevel="0" collapsed="false">
      <c r="A5" s="8" t="s">
        <v>34</v>
      </c>
      <c r="B5" s="9" t="s">
        <v>33</v>
      </c>
      <c r="C5" s="9" t="s">
        <v>33</v>
      </c>
      <c r="D5" s="9" t="s">
        <v>33</v>
      </c>
      <c r="E5" s="9" t="s">
        <v>33</v>
      </c>
      <c r="F5" s="9" t="s">
        <v>33</v>
      </c>
      <c r="G5" s="9" t="s">
        <v>33</v>
      </c>
      <c r="H5" s="9" t="s">
        <v>33</v>
      </c>
    </row>
    <row r="6" customFormat="false" ht="15" hidden="false" customHeight="false" outlineLevel="0" collapsed="false">
      <c r="A6" s="8" t="s">
        <v>35</v>
      </c>
      <c r="B6" s="10" t="n">
        <f aca="false">SUMIFS('Datos Tueste'!$D$4:$D$354,'Datos Tueste'!$A$4:$A$354,"&gt;="&amp;DATE(2026,7,16),'Datos Tueste'!$A$4:$A$354,"&lt;="&amp;DATE(2026,7,19))</f>
        <v>48</v>
      </c>
      <c r="C6" s="10" t="n">
        <f aca="false">SUMIFS('Datos Tueste'!$D$4:$D$354,'Datos Tueste'!$A$4:$A$354,"&gt;="&amp;DATE(2026,7,20),'Datos Tueste'!$A$4:$A$354,"&lt;="&amp;DATE(2026,7,26))</f>
        <v>859.83</v>
      </c>
      <c r="D6" s="10" t="n">
        <f aca="false">SUMIFS('Datos Tueste'!$D$4:$D$354,'Datos Tueste'!$A$4:$A$354,"&gt;="&amp;DATE(2026,7,27),'Datos Tueste'!$A$4:$A$354,"&lt;="&amp;DATE(2026,8,2))</f>
        <v>1647.07</v>
      </c>
      <c r="E6" s="10" t="n">
        <f aca="false">SUMIFS('Datos Tueste'!$D$4:$D$354,'Datos Tueste'!$A$4:$A$354,"&gt;="&amp;DATE(2026,8,3),'Datos Tueste'!$A$4:$A$354,"&lt;="&amp;DATE(2026,8,9))</f>
        <v>891.25</v>
      </c>
      <c r="F6" s="10" t="n">
        <f aca="false">SUMIFS('Datos Tueste'!$D$4:$D$354,'Datos Tueste'!$A$4:$A$354,"&gt;="&amp;DATE(2026,8,10),'Datos Tueste'!$A$4:$A$354,"&lt;="&amp;DATE(2026,8,16))</f>
        <v>1902.68</v>
      </c>
      <c r="G6" s="10" t="n">
        <f aca="false">SUMIFS('Datos Tueste'!$D$4:$D$354,'Datos Tueste'!$A$4:$A$354,"&gt;="&amp;DATE(2026,8,17),'Datos Tueste'!$A$4:$A$354,"&lt;="&amp;DATE(2026,8,19))</f>
        <v>680.56</v>
      </c>
      <c r="H6" s="11" t="n">
        <f aca="false">SUM(B6:G6)</f>
        <v>6029.39</v>
      </c>
    </row>
    <row r="7" customFormat="false" ht="15" hidden="false" customHeight="false" outlineLevel="0" collapsed="false">
      <c r="A7" s="8" t="s">
        <v>36</v>
      </c>
      <c r="B7" s="10" t="n">
        <f aca="false">SUMIFS('Datos Tueste'!$E$4:$E$354,'Datos Tueste'!$A$4:$A$354,"&gt;="&amp;DATE(2026,7,16),'Datos Tueste'!$A$4:$A$354,"&lt;="&amp;DATE(2026,7,19))</f>
        <v>43.2</v>
      </c>
      <c r="C7" s="10" t="n">
        <f aca="false">SUMIFS('Datos Tueste'!$E$4:$E$354,'Datos Tueste'!$A$4:$A$354,"&gt;="&amp;DATE(2026,7,20),'Datos Tueste'!$A$4:$A$354,"&lt;="&amp;DATE(2026,7,26))</f>
        <v>773.82</v>
      </c>
      <c r="D7" s="10" t="n">
        <f aca="false">SUMIFS('Datos Tueste'!$E$4:$E$354,'Datos Tueste'!$A$4:$A$354,"&gt;="&amp;DATE(2026,7,27),'Datos Tueste'!$A$4:$A$354,"&lt;="&amp;DATE(2026,8,2))</f>
        <v>1482.35</v>
      </c>
      <c r="E7" s="10" t="n">
        <f aca="false">SUMIFS('Datos Tueste'!$E$4:$E$354,'Datos Tueste'!$A$4:$A$354,"&gt;="&amp;DATE(2026,8,3),'Datos Tueste'!$A$4:$A$354,"&lt;="&amp;DATE(2026,8,9))</f>
        <v>802.12</v>
      </c>
      <c r="F7" s="10" t="n">
        <f aca="false">SUMIFS('Datos Tueste'!$E$4:$E$354,'Datos Tueste'!$A$4:$A$354,"&gt;="&amp;DATE(2026,8,10),'Datos Tueste'!$A$4:$A$354,"&lt;="&amp;DATE(2026,8,16))</f>
        <v>1712.44</v>
      </c>
      <c r="G7" s="10" t="n">
        <f aca="false">SUMIFS('Datos Tueste'!$E$4:$E$354,'Datos Tueste'!$A$4:$A$354,"&gt;="&amp;DATE(2026,8,17),'Datos Tueste'!$A$4:$A$354,"&lt;="&amp;DATE(2026,8,19))</f>
        <v>612.51</v>
      </c>
      <c r="H7" s="11" t="n">
        <f aca="false">SUM(B7:G7)</f>
        <v>5426.44</v>
      </c>
    </row>
    <row r="8" customFormat="false" ht="15" hidden="false" customHeight="false" outlineLevel="0" collapsed="false">
      <c r="A8" s="8" t="s">
        <v>37</v>
      </c>
      <c r="B8" s="9" t="s">
        <v>33</v>
      </c>
      <c r="C8" s="9" t="s">
        <v>33</v>
      </c>
      <c r="D8" s="9" t="s">
        <v>33</v>
      </c>
      <c r="E8" s="9" t="s">
        <v>33</v>
      </c>
      <c r="F8" s="9" t="s">
        <v>33</v>
      </c>
      <c r="G8" s="9" t="s">
        <v>33</v>
      </c>
      <c r="H8" s="9" t="s">
        <v>33</v>
      </c>
    </row>
    <row r="9" customFormat="false" ht="15" hidden="false" customHeight="false" outlineLevel="0" collapsed="false">
      <c r="A9" s="8" t="s">
        <v>38</v>
      </c>
      <c r="B9" s="9" t="s">
        <v>33</v>
      </c>
      <c r="C9" s="9" t="s">
        <v>33</v>
      </c>
      <c r="D9" s="9" t="s">
        <v>33</v>
      </c>
      <c r="E9" s="9" t="s">
        <v>33</v>
      </c>
      <c r="F9" s="9" t="s">
        <v>33</v>
      </c>
      <c r="G9" s="9" t="s">
        <v>33</v>
      </c>
      <c r="H9" s="9" t="s">
        <v>33</v>
      </c>
    </row>
    <row r="10" customFormat="false" ht="15" hidden="false" customHeight="false" outlineLevel="0" collapsed="false">
      <c r="A10" s="8" t="s">
        <v>39</v>
      </c>
      <c r="B10" s="9" t="s">
        <v>33</v>
      </c>
      <c r="C10" s="9" t="s">
        <v>33</v>
      </c>
      <c r="D10" s="9" t="s">
        <v>33</v>
      </c>
      <c r="E10" s="9" t="s">
        <v>33</v>
      </c>
      <c r="F10" s="9" t="s">
        <v>33</v>
      </c>
      <c r="G10" s="9" t="s">
        <v>33</v>
      </c>
      <c r="H10" s="9" t="s">
        <v>33</v>
      </c>
    </row>
    <row r="11" customFormat="false" ht="15" hidden="false" customHeight="false" outlineLevel="0" collapsed="false">
      <c r="A11" s="8" t="s">
        <v>40</v>
      </c>
      <c r="B11" s="9" t="s">
        <v>33</v>
      </c>
      <c r="C11" s="9" t="s">
        <v>33</v>
      </c>
      <c r="D11" s="9" t="s">
        <v>33</v>
      </c>
      <c r="E11" s="9" t="s">
        <v>33</v>
      </c>
      <c r="F11" s="9" t="s">
        <v>33</v>
      </c>
      <c r="G11" s="9" t="s">
        <v>33</v>
      </c>
      <c r="H11" s="9" t="s">
        <v>33</v>
      </c>
    </row>
    <row r="13" customFormat="false" ht="27.75" hidden="false" customHeight="true" outlineLevel="0" collapsed="false">
      <c r="A13" s="12" t="s">
        <v>41</v>
      </c>
      <c r="B13" s="12"/>
      <c r="C13" s="12"/>
      <c r="D13" s="12"/>
      <c r="E13" s="12"/>
      <c r="F13" s="12"/>
      <c r="G13" s="12"/>
      <c r="H13" s="12"/>
    </row>
  </sheetData>
  <mergeCells count="2">
    <mergeCell ref="A1:G1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6"/>
  </cols>
  <sheetData>
    <row r="1" customFormat="false" ht="25.5" hidden="false" customHeight="true" outlineLevel="0" collapsed="false">
      <c r="A1" s="1" t="s">
        <v>42</v>
      </c>
      <c r="B1" s="1"/>
      <c r="C1" s="1"/>
      <c r="D1" s="1"/>
      <c r="E1" s="1"/>
      <c r="F1" s="1"/>
      <c r="G1" s="1"/>
      <c r="H1" s="1"/>
    </row>
    <row r="3" customFormat="false" ht="30" hidden="false" customHeight="true" outlineLevel="0" collapsed="false">
      <c r="A3" s="6" t="s">
        <v>43</v>
      </c>
      <c r="B3" s="6" t="s">
        <v>44</v>
      </c>
      <c r="C3" s="6" t="s">
        <v>45</v>
      </c>
      <c r="D3" s="6" t="s">
        <v>46</v>
      </c>
      <c r="E3" s="6" t="s">
        <v>37</v>
      </c>
      <c r="F3" s="6" t="s">
        <v>47</v>
      </c>
      <c r="G3" s="6" t="s">
        <v>48</v>
      </c>
      <c r="H3" s="6" t="s">
        <v>49</v>
      </c>
    </row>
    <row r="4" customFormat="false" ht="15" hidden="false" customHeight="false" outlineLevel="0" collapsed="false">
      <c r="A4" s="8" t="s">
        <v>50</v>
      </c>
      <c r="B4" s="9" t="s">
        <v>51</v>
      </c>
      <c r="C4" s="10" t="n">
        <f aca="false">SUMIFS('Datos Tueste'!$D$4:$D$354,'Datos Tueste'!$A$4:$A$354,"&gt;="&amp;DATE(2026,7,1),'Datos Tueste'!$A$4:$A$354,"&lt;="&amp;DATE(2026,7,31))</f>
        <v>2554.9</v>
      </c>
      <c r="D4" s="10" t="n">
        <f aca="false">SUMIFS('Datos Tueste'!$E$4:$E$354,'Datos Tueste'!$A$4:$A$354,"&gt;="&amp;DATE(2026,7,1),'Datos Tueste'!$A$4:$A$354,"&lt;="&amp;DATE(2026,7,31))</f>
        <v>2299.37</v>
      </c>
      <c r="E4" s="9" t="s">
        <v>51</v>
      </c>
      <c r="F4" s="9" t="s">
        <v>51</v>
      </c>
      <c r="G4" s="9" t="s">
        <v>51</v>
      </c>
      <c r="H4" s="9" t="s">
        <v>51</v>
      </c>
    </row>
    <row r="5" customFormat="false" ht="15" hidden="false" customHeight="false" outlineLevel="0" collapsed="false">
      <c r="A5" s="8" t="s">
        <v>52</v>
      </c>
      <c r="B5" s="9" t="s">
        <v>51</v>
      </c>
      <c r="C5" s="10" t="n">
        <f aca="false">SUMIFS('Datos Tueste'!$D$4:$D$354,'Datos Tueste'!$A$4:$A$354,"&gt;="&amp;DATE(2026,8,1),'Datos Tueste'!$A$4:$A$354,"&lt;="&amp;DATE(2026,8,31))</f>
        <v>3474.49</v>
      </c>
      <c r="D5" s="10" t="n">
        <f aca="false">SUMIFS('Datos Tueste'!$E$4:$E$354,'Datos Tueste'!$A$4:$A$354,"&gt;="&amp;DATE(2026,8,1),'Datos Tueste'!$A$4:$A$354,"&lt;="&amp;DATE(2026,8,31))</f>
        <v>3127.07</v>
      </c>
      <c r="E5" s="9" t="s">
        <v>51</v>
      </c>
      <c r="F5" s="9" t="s">
        <v>51</v>
      </c>
      <c r="G5" s="9" t="s">
        <v>51</v>
      </c>
      <c r="H5" s="9" t="s">
        <v>51</v>
      </c>
    </row>
    <row r="6" customFormat="false" ht="15" hidden="false" customHeight="false" outlineLevel="0" collapsed="false">
      <c r="A6" s="13" t="s">
        <v>31</v>
      </c>
      <c r="B6" s="14" t="s">
        <v>53</v>
      </c>
      <c r="C6" s="15" t="n">
        <f aca="false">SUM(C4:C5)</f>
        <v>6029.39</v>
      </c>
      <c r="D6" s="15" t="n">
        <f aca="false">SUM(D4:D5)</f>
        <v>5426.44</v>
      </c>
      <c r="E6" s="14" t="s">
        <v>53</v>
      </c>
      <c r="F6" s="14" t="s">
        <v>53</v>
      </c>
      <c r="G6" s="14" t="s">
        <v>53</v>
      </c>
      <c r="H6" s="14" t="s">
        <v>53</v>
      </c>
    </row>
    <row r="8" customFormat="false" ht="30" hidden="false" customHeight="true" outlineLevel="0" collapsed="false">
      <c r="A8" s="12" t="s">
        <v>54</v>
      </c>
      <c r="B8" s="12"/>
      <c r="C8" s="12"/>
      <c r="D8" s="12"/>
      <c r="E8" s="12"/>
      <c r="F8" s="12"/>
      <c r="G8" s="12"/>
      <c r="H8" s="12"/>
    </row>
  </sheetData>
  <mergeCells count="2">
    <mergeCell ref="A1:H1"/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0"/>
  </cols>
  <sheetData>
    <row r="1" customFormat="false" ht="25.5" hidden="false" customHeight="true" outlineLevel="0" collapsed="false">
      <c r="A1" s="1" t="s">
        <v>55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6" t="s">
        <v>56</v>
      </c>
      <c r="B3" s="16"/>
      <c r="C3" s="16"/>
      <c r="D3" s="16"/>
      <c r="E3" s="16"/>
      <c r="F3" s="16"/>
    </row>
    <row r="5" customFormat="false" ht="15" hidden="false" customHeight="true" outlineLevel="0" collapsed="false">
      <c r="A5" s="4" t="s">
        <v>57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</row>
  </sheetData>
  <mergeCells count="3">
    <mergeCell ref="A1:F1"/>
    <mergeCell ref="A3:F3"/>
    <mergeCell ref="A5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0"/>
  </cols>
  <sheetData>
    <row r="1" customFormat="false" ht="25.5" hidden="false" customHeight="true" outlineLevel="0" collapsed="false">
      <c r="A1" s="1" t="s">
        <v>58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6" t="s">
        <v>56</v>
      </c>
      <c r="B3" s="16"/>
      <c r="C3" s="16"/>
      <c r="D3" s="16"/>
      <c r="E3" s="16"/>
      <c r="F3" s="16"/>
    </row>
    <row r="5" customFormat="false" ht="15" hidden="false" customHeight="true" outlineLevel="0" collapsed="false">
      <c r="A5" s="4" t="s">
        <v>59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</row>
  </sheetData>
  <mergeCells count="3">
    <mergeCell ref="A1:F1"/>
    <mergeCell ref="A3:F3"/>
    <mergeCell ref="A5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0"/>
  </cols>
  <sheetData>
    <row r="1" customFormat="false" ht="25.5" hidden="false" customHeight="true" outlineLevel="0" collapsed="false">
      <c r="A1" s="1" t="s">
        <v>60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6" t="s">
        <v>56</v>
      </c>
      <c r="B3" s="16"/>
      <c r="C3" s="16"/>
      <c r="D3" s="16"/>
      <c r="E3" s="16"/>
      <c r="F3" s="16"/>
    </row>
    <row r="5" customFormat="false" ht="15" hidden="false" customHeight="true" outlineLevel="0" collapsed="false">
      <c r="A5" s="4" t="s">
        <v>61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</row>
  </sheetData>
  <mergeCells count="3">
    <mergeCell ref="A1:F1"/>
    <mergeCell ref="A3:F3"/>
    <mergeCell ref="A5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2026-08-20T02:46:09Z</dcterms:created>
  <dc:creator>openpyxl</dc:creator>
  <dc:description/>
  <dc:language>en-US</dc:language>
  <cp:lastModifiedBy/>
  <dcterms:modified xsi:type="dcterms:W3CDTF">2026-08-19T21:46:11Z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